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 MATKUL IPB\Semester 4\Anreg\Bahan data\"/>
    </mc:Choice>
  </mc:AlternateContent>
  <xr:revisionPtr revIDLastSave="0" documentId="13_ncr:1_{ADEBAFA1-AB86-4F81-8692-9074385782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2" sheetId="6" r:id="rId1"/>
    <sheet name="Sheet1" sheetId="1" r:id="rId2"/>
  </sheets>
  <calcPr calcId="181029"/>
</workbook>
</file>

<file path=xl/calcChain.xml><?xml version="1.0" encoding="utf-8"?>
<calcChain xmlns="http://schemas.openxmlformats.org/spreadsheetml/2006/main">
  <c r="U4" i="6" l="1"/>
  <c r="V4" i="6" s="1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4" i="6"/>
  <c r="N5" i="6"/>
  <c r="P5" i="6" s="1"/>
  <c r="N6" i="6"/>
  <c r="P6" i="6" s="1"/>
  <c r="N7" i="6"/>
  <c r="P7" i="6" s="1"/>
  <c r="N8" i="6"/>
  <c r="P8" i="6" s="1"/>
  <c r="N9" i="6"/>
  <c r="P9" i="6" s="1"/>
  <c r="N10" i="6"/>
  <c r="P10" i="6" s="1"/>
  <c r="N11" i="6"/>
  <c r="P11" i="6" s="1"/>
  <c r="N12" i="6"/>
  <c r="P12" i="6" s="1"/>
  <c r="N13" i="6"/>
  <c r="P13" i="6" s="1"/>
  <c r="N14" i="6"/>
  <c r="P14" i="6" s="1"/>
  <c r="N15" i="6"/>
  <c r="P15" i="6" s="1"/>
  <c r="N16" i="6"/>
  <c r="P16" i="6" s="1"/>
  <c r="N17" i="6"/>
  <c r="P17" i="6" s="1"/>
  <c r="N18" i="6"/>
  <c r="P18" i="6" s="1"/>
  <c r="N19" i="6"/>
  <c r="P19" i="6" s="1"/>
  <c r="N20" i="6"/>
  <c r="P20" i="6" s="1"/>
  <c r="N21" i="6"/>
  <c r="P21" i="6" s="1"/>
  <c r="N22" i="6"/>
  <c r="P22" i="6" s="1"/>
  <c r="N23" i="6"/>
  <c r="P23" i="6" s="1"/>
  <c r="N24" i="6"/>
  <c r="P24" i="6" s="1"/>
  <c r="N25" i="6"/>
  <c r="P25" i="6" s="1"/>
  <c r="N26" i="6"/>
  <c r="P26" i="6" s="1"/>
  <c r="N27" i="6"/>
  <c r="P27" i="6" s="1"/>
  <c r="N28" i="6"/>
  <c r="P28" i="6" s="1"/>
  <c r="N29" i="6"/>
  <c r="P29" i="6" s="1"/>
  <c r="N30" i="6"/>
  <c r="P30" i="6" s="1"/>
  <c r="N31" i="6"/>
  <c r="P31" i="6" s="1"/>
  <c r="N32" i="6"/>
  <c r="P32" i="6" s="1"/>
  <c r="N33" i="6"/>
  <c r="P33" i="6" s="1"/>
  <c r="N34" i="6"/>
  <c r="P34" i="6" s="1"/>
  <c r="N35" i="6"/>
  <c r="P35" i="6" s="1"/>
  <c r="N36" i="6"/>
  <c r="P36" i="6" s="1"/>
  <c r="N37" i="6"/>
  <c r="P37" i="6" s="1"/>
  <c r="N38" i="6"/>
  <c r="P38" i="6" s="1"/>
  <c r="N39" i="6"/>
  <c r="P39" i="6" s="1"/>
  <c r="N40" i="6"/>
  <c r="P40" i="6" s="1"/>
  <c r="N41" i="6"/>
  <c r="P41" i="6" s="1"/>
  <c r="N42" i="6"/>
  <c r="P42" i="6" s="1"/>
  <c r="N43" i="6"/>
  <c r="P43" i="6" s="1"/>
  <c r="N44" i="6"/>
  <c r="P44" i="6" s="1"/>
  <c r="N45" i="6"/>
  <c r="P45" i="6" s="1"/>
  <c r="N46" i="6"/>
  <c r="P46" i="6" s="1"/>
  <c r="N47" i="6"/>
  <c r="P47" i="6" s="1"/>
  <c r="N48" i="6"/>
  <c r="P48" i="6" s="1"/>
  <c r="N49" i="6"/>
  <c r="P49" i="6" s="1"/>
  <c r="N50" i="6"/>
  <c r="P50" i="6" s="1"/>
  <c r="N51" i="6"/>
  <c r="P51" i="6" s="1"/>
  <c r="N52" i="6"/>
  <c r="P52" i="6" s="1"/>
  <c r="N53" i="6"/>
  <c r="P53" i="6" s="1"/>
  <c r="N54" i="6"/>
  <c r="P54" i="6" s="1"/>
  <c r="N55" i="6"/>
  <c r="P55" i="6" s="1"/>
  <c r="N56" i="6"/>
  <c r="P56" i="6" s="1"/>
  <c r="N57" i="6"/>
  <c r="P57" i="6" s="1"/>
  <c r="N58" i="6"/>
  <c r="P58" i="6" s="1"/>
  <c r="N59" i="6"/>
  <c r="P59" i="6" s="1"/>
  <c r="N60" i="6"/>
  <c r="P60" i="6" s="1"/>
  <c r="N61" i="6"/>
  <c r="P61" i="6" s="1"/>
  <c r="N62" i="6"/>
  <c r="P62" i="6" s="1"/>
  <c r="N63" i="6"/>
  <c r="P63" i="6" s="1"/>
  <c r="N64" i="6"/>
  <c r="P64" i="6" s="1"/>
  <c r="N65" i="6"/>
  <c r="P65" i="6" s="1"/>
  <c r="N66" i="6"/>
  <c r="P66" i="6" s="1"/>
  <c r="N67" i="6"/>
  <c r="P67" i="6" s="1"/>
  <c r="N68" i="6"/>
  <c r="P68" i="6" s="1"/>
  <c r="N69" i="6"/>
  <c r="P69" i="6" s="1"/>
  <c r="N70" i="6"/>
  <c r="P70" i="6" s="1"/>
  <c r="N71" i="6"/>
  <c r="P71" i="6" s="1"/>
  <c r="N72" i="6"/>
  <c r="P72" i="6" s="1"/>
  <c r="N73" i="6"/>
  <c r="P73" i="6" s="1"/>
  <c r="N74" i="6"/>
  <c r="P74" i="6" s="1"/>
  <c r="N75" i="6"/>
  <c r="P75" i="6" s="1"/>
  <c r="N76" i="6"/>
  <c r="P76" i="6" s="1"/>
  <c r="N77" i="6"/>
  <c r="P77" i="6" s="1"/>
  <c r="N78" i="6"/>
  <c r="P78" i="6" s="1"/>
  <c r="N79" i="6"/>
  <c r="P79" i="6" s="1"/>
  <c r="N80" i="6"/>
  <c r="P80" i="6" s="1"/>
  <c r="N81" i="6"/>
  <c r="P81" i="6" s="1"/>
  <c r="N82" i="6"/>
  <c r="P82" i="6" s="1"/>
  <c r="N83" i="6"/>
  <c r="P83" i="6" s="1"/>
  <c r="N84" i="6"/>
  <c r="P84" i="6" s="1"/>
  <c r="N85" i="6"/>
  <c r="P85" i="6" s="1"/>
  <c r="N86" i="6"/>
  <c r="P86" i="6" s="1"/>
  <c r="N87" i="6"/>
  <c r="P87" i="6" s="1"/>
  <c r="N88" i="6"/>
  <c r="P88" i="6" s="1"/>
  <c r="N89" i="6"/>
  <c r="P89" i="6" s="1"/>
  <c r="N90" i="6"/>
  <c r="P90" i="6" s="1"/>
  <c r="N91" i="6"/>
  <c r="P91" i="6" s="1"/>
  <c r="N92" i="6"/>
  <c r="P92" i="6" s="1"/>
  <c r="N93" i="6"/>
  <c r="P93" i="6" s="1"/>
  <c r="N94" i="6"/>
  <c r="P94" i="6" s="1"/>
  <c r="N95" i="6"/>
  <c r="P95" i="6" s="1"/>
  <c r="N96" i="6"/>
  <c r="P96" i="6" s="1"/>
  <c r="N97" i="6"/>
  <c r="P97" i="6" s="1"/>
  <c r="N98" i="6"/>
  <c r="P98" i="6" s="1"/>
  <c r="N99" i="6"/>
  <c r="P99" i="6" s="1"/>
  <c r="N100" i="6"/>
  <c r="P100" i="6" s="1"/>
  <c r="N101" i="6"/>
  <c r="P101" i="6" s="1"/>
  <c r="N102" i="6"/>
  <c r="P102" i="6" s="1"/>
  <c r="N103" i="6"/>
  <c r="P103" i="6" s="1"/>
  <c r="N104" i="6"/>
  <c r="P104" i="6" s="1"/>
  <c r="N105" i="6"/>
  <c r="P105" i="6" s="1"/>
  <c r="N106" i="6"/>
  <c r="P106" i="6" s="1"/>
  <c r="N107" i="6"/>
  <c r="P107" i="6" s="1"/>
  <c r="N108" i="6"/>
  <c r="P108" i="6" s="1"/>
  <c r="N109" i="6"/>
  <c r="P109" i="6" s="1"/>
  <c r="N110" i="6"/>
  <c r="P110" i="6" s="1"/>
  <c r="N111" i="6"/>
  <c r="P111" i="6" s="1"/>
  <c r="N112" i="6"/>
  <c r="P112" i="6" s="1"/>
  <c r="N113" i="6"/>
  <c r="P113" i="6" s="1"/>
  <c r="N114" i="6"/>
  <c r="P114" i="6" s="1"/>
  <c r="N115" i="6"/>
  <c r="P115" i="6" s="1"/>
  <c r="N116" i="6"/>
  <c r="P116" i="6" s="1"/>
  <c r="N117" i="6"/>
  <c r="P117" i="6" s="1"/>
  <c r="N118" i="6"/>
  <c r="P118" i="6" s="1"/>
  <c r="N119" i="6"/>
  <c r="P119" i="6" s="1"/>
  <c r="N120" i="6"/>
  <c r="P120" i="6" s="1"/>
  <c r="N121" i="6"/>
  <c r="P121" i="6" s="1"/>
  <c r="N122" i="6"/>
  <c r="P122" i="6" s="1"/>
  <c r="N4" i="6"/>
  <c r="P4" i="6" s="1"/>
  <c r="T4" i="6"/>
  <c r="S4" i="6"/>
  <c r="R4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5" i="6"/>
  <c r="M6" i="6"/>
  <c r="M4" i="6"/>
</calcChain>
</file>

<file path=xl/sharedStrings.xml><?xml version="1.0" encoding="utf-8"?>
<sst xmlns="http://schemas.openxmlformats.org/spreadsheetml/2006/main" count="2286" uniqueCount="1715">
  <si>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</si>
  <si>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</si>
  <si>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</si>
  <si>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</si>
  <si>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</si>
  <si>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</si>
  <si>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</si>
  <si>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</si>
  <si>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</si>
  <si>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</si>
  <si>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</si>
  <si>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</si>
  <si>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</si>
  <si>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</si>
  <si>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</si>
  <si>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</si>
  <si>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</si>
  <si>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</si>
  <si>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</si>
  <si>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</si>
  <si>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</si>
  <si>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</si>
  <si>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</si>
  <si>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</si>
  <si>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</si>
  <si>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</si>
  <si>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</si>
  <si>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</si>
  <si>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</si>
  <si>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</si>
  <si>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</si>
  <si>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</si>
  <si>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</si>
  <si>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</si>
  <si>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</si>
  <si>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</si>
  <si>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</si>
  <si>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</si>
  <si>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</si>
  <si>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</si>
  <si>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</si>
  <si>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</si>
  <si>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</si>
  <si>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</si>
  <si>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</si>
  <si>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</si>
  <si>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</si>
  <si>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</si>
  <si>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</si>
  <si>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</si>
  <si>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</si>
  <si>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</si>
  <si>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</si>
  <si>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</si>
  <si>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</si>
  <si>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</si>
  <si>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</si>
  <si>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</si>
  <si>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</si>
  <si>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</si>
  <si>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</si>
  <si>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</si>
  <si>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</si>
  <si>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</si>
  <si>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</si>
  <si>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</si>
  <si>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</si>
  <si>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</si>
  <si>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</si>
  <si>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</si>
  <si>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</si>
  <si>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</si>
  <si>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</si>
  <si>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</si>
  <si>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</si>
  <si>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</si>
  <si>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</si>
  <si>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</si>
  <si>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</si>
  <si>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</si>
  <si>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</si>
  <si>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</si>
  <si>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</si>
  <si>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</si>
  <si>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</si>
  <si>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</si>
  <si>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</si>
  <si>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</si>
  <si>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</si>
  <si>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</si>
  <si>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</si>
  <si>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</si>
  <si>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</si>
  <si>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</si>
  <si>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</si>
  <si>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</si>
  <si>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</si>
  <si>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</si>
  <si>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</si>
  <si>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</si>
  <si>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</si>
  <si>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</si>
  <si>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</si>
  <si>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</si>
  <si>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</si>
  <si>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</si>
  <si>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</si>
  <si>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</si>
  <si>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</si>
  <si>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</si>
  <si>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</si>
  <si>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</si>
  <si>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</si>
  <si>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</si>
  <si>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</si>
  <si>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</si>
  <si>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</si>
  <si>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</si>
  <si>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</si>
  <si>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</si>
  <si>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</si>
  <si>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</si>
  <si>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</si>
  <si>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</si>
  <si>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</si>
  <si>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</si>
  <si>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</si>
  <si>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</si>
  <si>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</si>
  <si>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</si>
  <si>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</si>
  <si>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</si>
  <si>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</si>
  <si>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</si>
  <si>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</si>
  <si>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</si>
  <si>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</si>
  <si>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</si>
  <si>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</si>
  <si>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</si>
  <si>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</si>
  <si>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</si>
  <si>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</si>
  <si>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</si>
  <si>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</si>
  <si>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</si>
  <si>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</si>
  <si>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</si>
  <si>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</si>
  <si>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</si>
  <si>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</si>
  <si>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</si>
  <si>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</si>
  <si>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</si>
  <si>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</si>
  <si>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</si>
  <si>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</si>
  <si>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</si>
  <si>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</si>
  <si>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</si>
  <si>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</si>
  <si>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</si>
  <si>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</si>
  <si>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</si>
  <si>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</si>
  <si>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</si>
  <si>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</si>
  <si>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</si>
  <si>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</si>
  <si>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</si>
  <si>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</si>
  <si>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</si>
  <si>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</si>
  <si>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</si>
  <si>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</si>
  <si>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</si>
  <si>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</si>
  <si>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</si>
  <si>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</si>
  <si>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</si>
  <si>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</si>
  <si>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</si>
  <si>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</si>
  <si>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</si>
  <si>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</si>
  <si>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</si>
  <si>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</si>
  <si>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</si>
  <si>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</si>
  <si>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</si>
  <si>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</si>
  <si>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</si>
  <si>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</si>
  <si>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</si>
  <si>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</si>
  <si>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</si>
  <si>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</si>
  <si>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</si>
  <si>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</si>
  <si>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</si>
  <si>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</si>
  <si>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</si>
  <si>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</si>
  <si>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</si>
  <si>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</si>
  <si>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</si>
  <si>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</si>
  <si>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</si>
  <si>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</si>
  <si>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</si>
  <si>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</si>
  <si>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</si>
  <si>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</si>
  <si>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</si>
  <si>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</si>
  <si>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</si>
  <si>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</si>
  <si>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</si>
  <si>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</si>
  <si>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</si>
  <si>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</si>
  <si>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</si>
  <si>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</si>
  <si>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</si>
  <si>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</si>
  <si>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</si>
  <si>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</si>
  <si>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</si>
  <si>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</si>
  <si>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</si>
  <si>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</si>
  <si>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</si>
  <si>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</si>
  <si>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</si>
  <si>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</si>
  <si>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</si>
  <si>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</si>
  <si>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</si>
  <si>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</si>
  <si>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</si>
  <si>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</si>
  <si>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</si>
  <si>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</si>
  <si>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</si>
  <si>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</si>
  <si>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</si>
  <si>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</si>
  <si>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</si>
  <si>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</si>
  <si>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</si>
  <si>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</si>
  <si>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</si>
  <si>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</si>
  <si>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</si>
  <si>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</si>
  <si>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</si>
  <si>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</si>
  <si>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</si>
  <si>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</si>
  <si>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</si>
  <si>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</si>
  <si>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</si>
  <si>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</si>
  <si>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</si>
  <si>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</si>
  <si>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</si>
  <si>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</si>
  <si>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</si>
  <si>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</si>
  <si>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</si>
  <si>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</si>
  <si>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</si>
  <si>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</si>
  <si>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</si>
  <si>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</si>
  <si>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</si>
  <si>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</si>
  <si>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</si>
  <si>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</si>
  <si>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</si>
  <si>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</si>
  <si>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</si>
  <si>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</si>
  <si>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</si>
  <si>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</si>
  <si>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</si>
  <si>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</si>
  <si>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</si>
  <si>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</si>
  <si>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</si>
  <si>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</si>
  <si>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</si>
  <si>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</si>
  <si>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</si>
  <si>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</si>
  <si>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</si>
  <si>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</si>
  <si>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</si>
  <si>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</si>
  <si>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</si>
  <si>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</si>
  <si>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</si>
  <si>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</si>
  <si>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</si>
  <si>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</si>
  <si>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</si>
  <si>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</si>
  <si>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</si>
  <si>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</si>
  <si>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</si>
  <si>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</si>
  <si>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</si>
  <si>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</si>
  <si>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</si>
  <si>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</si>
  <si>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</si>
  <si>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</si>
  <si>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</si>
  <si>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</si>
  <si>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</si>
  <si>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</si>
  <si>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</si>
  <si>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</si>
  <si>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</si>
  <si>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</si>
  <si>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</si>
  <si>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</si>
  <si>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</si>
  <si>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</si>
  <si>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</si>
  <si>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</si>
  <si>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</si>
  <si>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</si>
  <si>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</si>
  <si>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</si>
  <si>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</si>
  <si>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</si>
  <si>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</si>
  <si>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</si>
  <si>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</si>
  <si>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</si>
  <si>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</si>
  <si>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</si>
  <si>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</si>
  <si>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</si>
  <si>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</si>
  <si>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</si>
  <si>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</si>
  <si>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</si>
  <si>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</si>
  <si>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</si>
  <si>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</si>
  <si>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</si>
  <si>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</si>
  <si>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</si>
  <si>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</si>
  <si>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</si>
  <si>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</si>
  <si>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</si>
  <si>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</si>
  <si>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</si>
  <si>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</si>
  <si>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</si>
  <si>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</si>
  <si>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</si>
  <si>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</si>
  <si>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</si>
  <si>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</si>
  <si>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</si>
  <si>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</si>
  <si>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</si>
  <si>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</si>
  <si>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</si>
  <si>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</si>
  <si>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</si>
  <si>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</si>
  <si>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</si>
  <si>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</si>
  <si>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</si>
  <si>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</si>
  <si>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</si>
  <si>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</si>
  <si>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</si>
  <si>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</si>
  <si>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</si>
  <si>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</si>
  <si>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</si>
  <si>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</si>
  <si>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</si>
  <si>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</si>
  <si>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</si>
  <si>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</si>
  <si>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</si>
  <si>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</si>
  <si>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</si>
  <si>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</si>
  <si>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</si>
  <si>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</si>
  <si>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</si>
  <si>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</si>
  <si>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</si>
  <si>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</si>
  <si>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</si>
  <si>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</si>
  <si>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</si>
  <si>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</si>
  <si>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</si>
  <si>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</si>
  <si>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</si>
  <si>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</si>
  <si>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</si>
  <si>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</si>
  <si>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</si>
  <si>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</si>
  <si>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</si>
  <si>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</si>
  <si>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</si>
  <si>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</si>
  <si>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</si>
  <si>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</si>
  <si>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</si>
  <si>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</si>
  <si>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</si>
  <si>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</si>
  <si>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</si>
  <si>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</si>
  <si>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</si>
  <si>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</si>
  <si>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</si>
  <si>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</si>
  <si>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</si>
  <si>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</si>
  <si>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</si>
  <si>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</si>
  <si>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</si>
  <si>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</si>
  <si>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</si>
  <si>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</si>
  <si>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</si>
  <si>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</si>
  <si>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</si>
  <si>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</si>
  <si>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</si>
  <si>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</si>
  <si>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</si>
  <si>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</si>
  <si>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</si>
  <si>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</si>
  <si>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</si>
  <si>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</si>
  <si>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</si>
  <si>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</si>
  <si>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</si>
  <si>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</si>
  <si>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</si>
  <si>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</si>
  <si>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</si>
  <si>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</si>
  <si>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</si>
  <si>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</si>
  <si>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</si>
  <si>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</si>
  <si>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</si>
  <si>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</si>
  <si>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</si>
  <si>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</si>
  <si>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</si>
  <si>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</si>
  <si>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</si>
  <si>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</si>
  <si>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</si>
  <si>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</si>
  <si>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</si>
  <si>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</si>
  <si>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</si>
  <si>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</si>
  <si>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</si>
  <si>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</si>
  <si>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</si>
  <si>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</si>
  <si>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</si>
  <si>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</si>
  <si>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</si>
  <si>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</si>
  <si>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</si>
  <si>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</si>
  <si>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</si>
  <si>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</si>
  <si>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</si>
  <si>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</si>
  <si>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</si>
  <si>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</si>
  <si>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</si>
  <si>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</si>
  <si>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</si>
  <si>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</si>
  <si>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</si>
  <si>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</si>
  <si>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</si>
  <si>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</si>
  <si>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</si>
  <si>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</si>
  <si>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</si>
  <si>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</si>
  <si>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</si>
  <si>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</si>
  <si>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</si>
  <si>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</si>
  <si>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</si>
  <si>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</si>
  <si>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</si>
  <si>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</si>
  <si>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</si>
  <si>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</si>
  <si>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</si>
  <si>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</si>
  <si>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</si>
  <si>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</si>
  <si>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</si>
  <si>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</si>
  <si>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</si>
  <si>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</si>
  <si>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</si>
  <si>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</si>
  <si>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</si>
  <si>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</si>
  <si>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</si>
  <si>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</si>
  <si>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</si>
  <si>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</si>
  <si>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</si>
  <si>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</si>
  <si>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</si>
  <si>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</si>
  <si>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</si>
  <si>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</si>
  <si>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</si>
  <si>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</si>
  <si>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</si>
  <si>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</si>
  <si>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</si>
  <si>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</si>
  <si>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</si>
  <si>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</si>
  <si>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</si>
  <si>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</si>
  <si>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</si>
  <si>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</si>
  <si>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</si>
  <si>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</si>
  <si>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</si>
  <si>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</si>
  <si>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</si>
  <si>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</si>
  <si>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</si>
  <si>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</si>
  <si>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</si>
  <si>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</si>
  <si>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</si>
  <si>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</si>
  <si>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</si>
  <si>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</si>
  <si>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</si>
  <si>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</si>
  <si>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</si>
  <si>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</si>
  <si>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</si>
  <si>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</si>
  <si>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</si>
  <si>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</si>
  <si>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</si>
  <si>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</si>
  <si>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</si>
  <si>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</si>
  <si>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</si>
  <si>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</si>
  <si>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</si>
  <si>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</si>
  <si>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</si>
  <si>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</si>
  <si>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</si>
  <si>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</si>
  <si>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</si>
  <si>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</si>
  <si>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</si>
  <si>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</si>
  <si>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</si>
  <si>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</si>
  <si>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</si>
  <si>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</si>
  <si>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</si>
  <si>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</si>
  <si>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</si>
  <si>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</si>
  <si>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</si>
  <si>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</si>
  <si>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</si>
  <si>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</si>
  <si>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</si>
  <si>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</si>
  <si>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</si>
  <si>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</si>
  <si>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</si>
  <si>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</si>
  <si>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</si>
  <si>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</si>
  <si>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</si>
  <si>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</si>
  <si>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</si>
  <si>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</si>
  <si>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</si>
  <si>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</si>
  <si>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</si>
  <si>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</si>
  <si>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</si>
  <si>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</si>
  <si>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</si>
  <si>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</si>
  <si>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</si>
  <si>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</si>
  <si>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</si>
  <si>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</si>
  <si>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</si>
  <si>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</si>
  <si>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</si>
  <si>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</si>
  <si>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</si>
  <si>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</si>
  <si>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</si>
  <si>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</si>
  <si>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</si>
  <si>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</si>
  <si>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</si>
  <si>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</si>
  <si>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</si>
  <si>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</si>
  <si>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</si>
  <si>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</si>
  <si>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</si>
  <si>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</si>
  <si>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</si>
  <si>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</si>
  <si>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</si>
  <si>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</si>
  <si>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</si>
  <si>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</si>
  <si>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</si>
  <si>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</si>
  <si>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</si>
  <si>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</si>
  <si>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</si>
  <si>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</si>
  <si>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</si>
  <si>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</si>
  <si>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</si>
  <si>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</si>
  <si>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</si>
  <si>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</si>
  <si>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</si>
  <si>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</si>
  <si>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</si>
  <si>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</si>
  <si>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</si>
  <si>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</si>
  <si>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</si>
  <si>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</si>
  <si>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</si>
  <si>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</si>
  <si>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</si>
  <si>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</si>
  <si>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</si>
  <si>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</si>
  <si>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</si>
  <si>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</si>
  <si>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</si>
  <si>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</si>
  <si>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</si>
  <si>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</si>
  <si>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</si>
  <si>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</si>
  <si>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</si>
  <si>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</si>
  <si>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</si>
  <si>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</si>
  <si>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</si>
  <si>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</si>
  <si>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</si>
  <si>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</si>
  <si>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</si>
  <si>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</si>
  <si>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</si>
  <si>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</si>
  <si>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</si>
  <si>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</si>
  <si>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</si>
  <si>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</si>
  <si>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</si>
  <si>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</si>
  <si>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</si>
  <si>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</si>
  <si>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</si>
  <si>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</si>
  <si>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</si>
  <si>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</si>
  <si>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</si>
  <si>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</si>
  <si>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</si>
  <si>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</si>
  <si>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</si>
  <si>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</si>
  <si>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</si>
  <si>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</si>
  <si>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</si>
  <si>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</si>
  <si>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</si>
  <si>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</si>
  <si>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</si>
  <si>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</si>
  <si>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</si>
  <si>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</si>
  <si>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</si>
  <si>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</si>
  <si>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</si>
  <si>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</si>
  <si>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</si>
  <si>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</si>
  <si>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</si>
  <si>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</si>
  <si>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</si>
  <si>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</si>
  <si>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</si>
  <si>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</si>
  <si>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</si>
  <si>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</si>
  <si>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</si>
  <si>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</si>
  <si>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</si>
  <si>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</si>
  <si>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</si>
  <si>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</si>
  <si>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</si>
  <si>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</si>
  <si>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</si>
  <si>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</si>
  <si>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</si>
  <si>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</si>
  <si>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</si>
  <si>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</si>
  <si>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</si>
  <si>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</si>
  <si>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</si>
  <si>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</si>
  <si>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</si>
  <si>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</si>
  <si>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</si>
  <si>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</si>
  <si>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</si>
  <si>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</si>
  <si>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</si>
  <si>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</si>
  <si>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</si>
  <si>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</si>
  <si>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</si>
  <si>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</si>
  <si>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</si>
  <si>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</si>
  <si>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</si>
  <si>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</si>
  <si>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</si>
  <si>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</si>
  <si>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</si>
  <si>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</si>
  <si>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</si>
  <si>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</si>
  <si>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</si>
  <si>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</si>
  <si>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</si>
  <si>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</si>
  <si>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</si>
  <si>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</si>
  <si>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</si>
  <si>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</si>
  <si>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</si>
  <si>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</si>
  <si>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</si>
  <si>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</si>
  <si>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</si>
  <si>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</si>
  <si>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</si>
  <si>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</si>
  <si>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</si>
  <si>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</si>
  <si>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</si>
  <si>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</si>
  <si>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</si>
  <si>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</si>
  <si>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</si>
  <si>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</si>
  <si>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</si>
  <si>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</si>
  <si>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</si>
  <si>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</si>
  <si>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</si>
  <si>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</si>
  <si>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</si>
  <si>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</si>
  <si>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</si>
  <si>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</si>
  <si>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</si>
  <si>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</si>
  <si>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</si>
  <si>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</si>
  <si>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</si>
  <si>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</si>
  <si>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</si>
  <si>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</si>
  <si>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</si>
  <si>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</si>
  <si>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</si>
  <si>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</si>
  <si>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</si>
  <si>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</si>
  <si>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</si>
  <si>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</si>
  <si>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</si>
  <si>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</si>
  <si>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</si>
  <si>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</si>
  <si>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</si>
  <si>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</si>
  <si>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</si>
  <si>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</si>
  <si>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</si>
  <si>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</si>
  <si>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</si>
  <si>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</si>
  <si>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</si>
  <si>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</si>
  <si>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</si>
  <si>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</si>
  <si>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</si>
  <si>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</si>
  <si>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</si>
  <si>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</si>
  <si>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</si>
  <si>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</si>
  <si>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</si>
  <si>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</si>
  <si>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</si>
  <si>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</si>
  <si>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</si>
  <si>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</si>
  <si>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</si>
  <si>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</si>
  <si>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</si>
  <si>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</si>
  <si>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</si>
  <si>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</si>
  <si>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</si>
  <si>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</si>
  <si>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</si>
  <si>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</si>
  <si>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</si>
  <si>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</si>
  <si>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</si>
  <si>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</si>
  <si>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</si>
  <si>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</si>
  <si>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</si>
  <si>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</si>
  <si>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</si>
  <si>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</si>
  <si>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</si>
  <si>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</si>
  <si>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</si>
  <si>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</si>
  <si>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</si>
  <si>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</si>
  <si>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</si>
  <si>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</si>
  <si>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</si>
  <si>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</si>
  <si>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</si>
  <si>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</si>
  <si>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</si>
  <si>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</si>
  <si>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</si>
  <si>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</si>
  <si>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</si>
  <si>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</si>
  <si>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</si>
  <si>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</si>
  <si>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</si>
  <si>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</si>
  <si>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</si>
  <si>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</si>
  <si>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</si>
  <si>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</si>
  <si>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</si>
  <si>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</si>
  <si>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</si>
  <si>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</si>
  <si>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</si>
  <si>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</si>
  <si>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</si>
  <si>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</si>
  <si>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</si>
  <si>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</si>
  <si>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</si>
  <si>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</si>
  <si>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</si>
  <si>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</si>
  <si>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</si>
  <si>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</si>
  <si>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</si>
  <si>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</si>
  <si>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</si>
  <si>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</si>
  <si>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</si>
  <si>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</si>
  <si>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</si>
  <si>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</si>
  <si>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</si>
  <si>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</si>
  <si>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</si>
  <si>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</si>
  <si>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</si>
  <si>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</si>
  <si>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</si>
  <si>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</si>
  <si>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</si>
  <si>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</si>
  <si>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</si>
  <si>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</si>
  <si>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</si>
  <si>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</si>
  <si>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</si>
  <si>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</si>
  <si>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</si>
  <si>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</si>
  <si>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</si>
  <si>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</si>
  <si>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</si>
  <si>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</si>
  <si>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</si>
  <si>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</si>
  <si>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</si>
  <si>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</si>
  <si>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</si>
  <si>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</si>
  <si>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</si>
  <si>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</si>
  <si>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</si>
  <si>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</si>
  <si>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</si>
  <si>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</si>
  <si>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</si>
  <si>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</si>
  <si>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</si>
  <si>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</si>
  <si>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</si>
  <si>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</si>
  <si>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</si>
  <si>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</si>
  <si>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</si>
  <si>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</si>
  <si>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</si>
  <si>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</si>
  <si>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</si>
  <si>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</si>
  <si>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</si>
  <si>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</si>
  <si>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</si>
  <si>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</si>
  <si>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</si>
  <si>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</si>
  <si>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</si>
  <si>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</si>
  <si>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</si>
  <si>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</si>
  <si>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</si>
  <si>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</si>
  <si>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</si>
  <si>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</si>
  <si>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</si>
  <si>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</si>
  <si>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</si>
  <si>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</si>
  <si>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</si>
  <si>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</si>
  <si>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</si>
  <si>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</si>
  <si>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</si>
  <si>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</si>
  <si>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</si>
  <si>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</si>
  <si>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</si>
  <si>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</si>
  <si>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</si>
  <si>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</si>
  <si>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</si>
  <si>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</si>
  <si>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</si>
  <si>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</si>
  <si>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</si>
  <si>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</si>
  <si>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</si>
  <si>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</si>
  <si>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</si>
  <si>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</si>
  <si>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</si>
  <si>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</si>
  <si>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</si>
  <si>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</si>
  <si>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</si>
  <si>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</si>
  <si>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</si>
  <si>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</si>
  <si>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</si>
  <si>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</si>
  <si>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</si>
  <si>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</si>
  <si>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</si>
  <si>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</si>
  <si>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</si>
  <si>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</si>
  <si>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</si>
  <si>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</si>
  <si>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</si>
  <si>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</si>
  <si>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</si>
  <si>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</si>
  <si>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</si>
  <si>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</si>
  <si>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</si>
  <si>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</si>
  <si>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</si>
  <si>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</si>
  <si>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</si>
  <si>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</si>
  <si>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</si>
  <si>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</si>
  <si>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</si>
  <si>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</si>
  <si>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</si>
  <si>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</si>
  <si>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</si>
  <si>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</si>
  <si>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</si>
  <si>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</si>
  <si>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</si>
  <si>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</si>
  <si>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</si>
  <si>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</si>
  <si>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</si>
  <si>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</si>
  <si>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</si>
  <si>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</si>
  <si>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</si>
  <si>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</si>
  <si>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</si>
  <si>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</si>
  <si>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</si>
  <si>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</si>
  <si>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</si>
  <si>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</si>
  <si>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</si>
  <si>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</si>
  <si>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</si>
  <si>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</si>
  <si>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</si>
  <si>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</si>
  <si>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</si>
  <si>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</si>
  <si>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</si>
  <si>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</si>
  <si>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</si>
  <si>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</si>
  <si>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</si>
  <si>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</si>
  <si>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</si>
  <si>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</si>
  <si>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</si>
  <si>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</si>
  <si>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</si>
  <si>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</si>
  <si>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</si>
  <si>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</si>
  <si>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</si>
  <si>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</si>
  <si>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</si>
  <si>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</si>
  <si>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</si>
  <si>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</si>
  <si>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</si>
  <si>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</si>
  <si>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</si>
  <si>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</si>
  <si>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</si>
  <si>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</si>
  <si>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</si>
  <si>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</si>
  <si>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</si>
  <si>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</si>
  <si>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</si>
  <si>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</si>
  <si>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</si>
  <si>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</si>
  <si>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</si>
  <si>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</si>
  <si>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</si>
  <si>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</si>
  <si>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</si>
  <si>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</si>
  <si>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</si>
  <si>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</si>
  <si>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</si>
  <si>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</si>
  <si>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</si>
  <si>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</si>
  <si>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</si>
  <si>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</si>
  <si>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</si>
  <si>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</si>
  <si>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</si>
  <si>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</si>
  <si>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</si>
  <si>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</si>
  <si>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</si>
  <si>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</si>
  <si>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</si>
  <si>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</si>
  <si>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</si>
  <si>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</si>
  <si>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</si>
  <si>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</si>
  <si>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</si>
  <si>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</si>
  <si>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</si>
  <si>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</si>
  <si>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</si>
  <si>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</si>
  <si>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</si>
  <si>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</si>
  <si>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</si>
  <si>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</si>
  <si>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</si>
  <si>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</si>
  <si>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</si>
  <si>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</si>
  <si>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</si>
  <si>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</si>
  <si>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</si>
  <si>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</si>
  <si>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</si>
  <si>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</si>
  <si>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</si>
  <si>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</si>
  <si>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</si>
  <si>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</si>
  <si>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</si>
  <si>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</si>
  <si>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</si>
  <si>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</si>
  <si>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</si>
  <si>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</si>
  <si>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</si>
  <si>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</si>
  <si>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</si>
  <si>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</si>
  <si>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</si>
  <si>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</si>
  <si>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</si>
  <si>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</si>
  <si>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</si>
  <si>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</si>
  <si>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</si>
  <si>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</si>
  <si>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</si>
  <si>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</si>
  <si>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</si>
  <si>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</si>
  <si>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</si>
  <si>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</si>
  <si>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</si>
  <si>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</si>
  <si>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</si>
  <si>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</si>
  <si>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</si>
  <si>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</si>
  <si>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</si>
  <si>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</si>
  <si>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</si>
  <si>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</si>
  <si>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</si>
  <si>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</si>
  <si>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</si>
  <si>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</si>
  <si>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</si>
  <si>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</si>
  <si>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</si>
  <si>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</si>
  <si>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</si>
  <si>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</si>
  <si>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</si>
  <si>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</si>
  <si>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</si>
  <si>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</si>
  <si>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</si>
  <si>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</si>
  <si>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</si>
  <si>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</si>
  <si>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</si>
  <si>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</si>
  <si>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</si>
  <si>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</si>
  <si>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</si>
  <si>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</si>
  <si>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</si>
  <si>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</si>
  <si>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</si>
  <si>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</si>
  <si>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</si>
  <si>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</si>
  <si>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</si>
  <si>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</si>
  <si>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</si>
  <si>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</si>
  <si>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</si>
  <si>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</si>
  <si>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</si>
  <si>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</si>
  <si>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</si>
  <si>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</si>
  <si>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</si>
  <si>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</si>
  <si>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</si>
  <si>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</si>
  <si>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</si>
  <si>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</si>
  <si>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</si>
  <si>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</si>
  <si>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</si>
  <si>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</si>
  <si>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</si>
  <si>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</si>
  <si>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</si>
  <si>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</si>
  <si>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</si>
  <si>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</si>
  <si>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</si>
  <si>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</si>
  <si>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</si>
  <si>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</si>
  <si>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</si>
  <si>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</si>
  <si>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</si>
  <si>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</si>
  <si>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</si>
  <si>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</si>
  <si>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</si>
  <si>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</si>
  <si>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</si>
  <si>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</si>
  <si>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</si>
  <si>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</si>
  <si>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</si>
  <si>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</si>
  <si>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</si>
  <si>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</si>
  <si>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</si>
  <si>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</si>
  <si>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</si>
  <si>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</si>
  <si>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</si>
  <si>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</si>
  <si>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</si>
  <si>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</si>
  <si>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</si>
  <si>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</si>
  <si>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</si>
  <si>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</si>
  <si>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</si>
  <si>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</si>
  <si>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</si>
  <si>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</si>
  <si>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</si>
  <si>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</si>
  <si>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</si>
  <si>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</si>
  <si>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</si>
  <si>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</si>
  <si>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</si>
  <si>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</si>
  <si>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</si>
  <si>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</si>
  <si>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</si>
  <si>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</si>
  <si>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</si>
  <si>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</si>
  <si>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</si>
  <si>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</si>
  <si>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</si>
  <si>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</si>
  <si>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</si>
  <si>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</si>
  <si>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</si>
  <si>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</si>
  <si>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</si>
  <si>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</si>
  <si>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</si>
  <si>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</si>
  <si>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</si>
  <si>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</si>
  <si>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</si>
  <si>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</si>
  <si>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</si>
  <si>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</si>
  <si>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</si>
  <si>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</si>
  <si>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</si>
  <si>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</si>
  <si>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</si>
  <si>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</si>
  <si>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</si>
  <si>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</si>
  <si>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</si>
  <si>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</si>
  <si>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</si>
  <si>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</si>
  <si>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</si>
  <si>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</si>
  <si>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</si>
  <si>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</si>
  <si>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</si>
  <si>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</si>
  <si>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</si>
  <si>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</si>
  <si>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</si>
  <si>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</si>
  <si>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</si>
  <si>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</si>
  <si>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</si>
  <si>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</si>
  <si>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</si>
  <si>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</si>
  <si>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</si>
  <si>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</si>
  <si>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</si>
  <si>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</si>
  <si>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</si>
  <si>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</si>
  <si>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</si>
  <si>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</si>
  <si>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</si>
  <si>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</si>
  <si>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</si>
  <si>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</si>
  <si>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</si>
  <si>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</si>
  <si>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</si>
  <si>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</si>
  <si>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</si>
  <si>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</si>
  <si>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</si>
  <si>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</si>
  <si>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</si>
  <si>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</si>
  <si>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</si>
  <si>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</si>
  <si>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</si>
  <si>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</si>
  <si>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</si>
  <si>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</si>
  <si>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</si>
  <si>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</si>
  <si>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</si>
  <si>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</si>
  <si>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</si>
  <si>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</si>
  <si>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</si>
  <si>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</si>
  <si>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</si>
  <si>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</si>
  <si>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</si>
  <si>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</si>
  <si>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</si>
  <si>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</si>
  <si>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</si>
  <si>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</si>
  <si>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</si>
  <si>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</si>
  <si>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</si>
  <si>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</si>
  <si>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</si>
  <si>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</si>
  <si>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</si>
  <si>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</si>
  <si>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</si>
  <si>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</si>
  <si>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</si>
  <si>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</si>
  <si>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</si>
  <si>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</si>
  <si>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</si>
  <si>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</si>
  <si>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</si>
  <si>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</si>
  <si>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</si>
  <si>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</si>
  <si>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</si>
  <si>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</si>
  <si>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</si>
  <si>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</si>
  <si>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</si>
  <si>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</si>
  <si>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</si>
  <si>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</si>
  <si>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</si>
  <si>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</si>
  <si>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</si>
  <si>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</si>
  <si>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</si>
  <si>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</si>
  <si>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</si>
  <si>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</si>
  <si>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</si>
  <si>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</si>
  <si>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</si>
  <si>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</si>
  <si>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</si>
  <si>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</si>
  <si>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</si>
  <si>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</si>
  <si>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</si>
  <si>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</si>
  <si>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</si>
  <si>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</si>
  <si>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</si>
  <si>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</si>
  <si>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</si>
  <si>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</si>
  <si>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</si>
  <si>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</si>
  <si>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</si>
  <si>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</si>
  <si>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</si>
  <si>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</si>
  <si>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</si>
  <si>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</si>
  <si>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</si>
  <si>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</si>
  <si>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</si>
  <si>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</si>
  <si>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</si>
  <si>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</si>
  <si>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</si>
  <si>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</si>
  <si>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</si>
  <si>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</si>
  <si>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</si>
  <si>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</si>
  <si>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</si>
  <si>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</si>
  <si>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</si>
  <si>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</si>
  <si>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</si>
  <si>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</si>
  <si>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</si>
  <si>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</si>
  <si>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</si>
  <si>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</si>
  <si>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</si>
  <si>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</si>
  <si>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</si>
  <si>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</si>
  <si>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</si>
  <si>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</si>
  <si>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</si>
  <si>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</si>
  <si>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</si>
  <si>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</si>
  <si>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</si>
  <si>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</si>
  <si>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</si>
  <si>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</si>
  <si>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</si>
  <si>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</si>
  <si>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</si>
  <si>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</si>
  <si>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</si>
  <si>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</si>
  <si>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</si>
  <si>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</si>
  <si>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</si>
  <si>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</si>
  <si>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</si>
  <si>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</si>
  <si>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</si>
  <si>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</si>
  <si>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</si>
  <si>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</si>
  <si>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</si>
  <si>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</si>
  <si>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</si>
  <si>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</si>
  <si>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</si>
  <si>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</si>
  <si>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</si>
  <si>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</si>
  <si>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</si>
  <si>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</si>
  <si>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</si>
  <si>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</si>
  <si>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</si>
  <si>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</si>
  <si>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</si>
  <si>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</si>
  <si>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</si>
  <si>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</si>
  <si>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</si>
  <si>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</si>
  <si>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</si>
  <si>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</si>
  <si>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</si>
  <si>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</si>
  <si>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</si>
  <si>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</si>
  <si>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</si>
  <si>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</si>
  <si>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</si>
  <si>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</si>
  <si>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</si>
  <si>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</si>
  <si>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</si>
  <si>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</si>
  <si>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</si>
  <si>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</si>
  <si>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</si>
  <si>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</si>
  <si>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</si>
  <si>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</si>
  <si>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</si>
  <si>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</si>
  <si>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</si>
  <si>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</si>
  <si>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</si>
  <si>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</si>
  <si>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</si>
  <si>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</si>
  <si>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</si>
  <si>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</si>
  <si>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</si>
  <si>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</si>
  <si>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</si>
  <si>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</si>
  <si>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</si>
  <si>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</si>
  <si>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</si>
  <si>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</si>
  <si>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</si>
  <si>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</si>
  <si>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</si>
  <si>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</si>
  <si>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</si>
  <si>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</si>
  <si>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</si>
  <si>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</si>
  <si>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</si>
  <si>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</si>
  <si>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</si>
  <si>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</si>
  <si>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</si>
  <si>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</si>
  <si>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</si>
  <si>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</si>
  <si>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</si>
  <si>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</si>
  <si>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</si>
  <si>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</si>
  <si>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</si>
  <si>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</si>
  <si>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</si>
  <si>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</si>
  <si>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</si>
  <si>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</si>
  <si>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</si>
  <si>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</si>
  <si>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</si>
  <si>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</si>
  <si>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</si>
  <si>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</si>
  <si>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</si>
  <si>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</si>
  <si>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</si>
  <si>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</si>
  <si>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</si>
  <si>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</si>
  <si>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</si>
  <si>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</si>
  <si>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</si>
  <si>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</si>
  <si>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</si>
  <si>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</si>
  <si>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</si>
  <si>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</si>
  <si>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</si>
  <si>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</si>
  <si>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</si>
  <si>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</si>
  <si>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</si>
  <si>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</si>
  <si>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</si>
  <si>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</si>
  <si>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</si>
  <si>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</si>
  <si>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</si>
  <si>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</si>
  <si>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</si>
  <si>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</si>
  <si>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</si>
  <si>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</si>
  <si>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</si>
  <si>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</si>
  <si>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</si>
  <si>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</si>
  <si>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</si>
  <si>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</si>
  <si>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</si>
  <si>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</si>
  <si>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</si>
  <si>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</si>
  <si>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</si>
  <si>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</si>
  <si>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</si>
  <si>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</si>
  <si>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</si>
  <si>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</si>
  <si>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</si>
  <si>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</si>
  <si>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</si>
  <si>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</si>
  <si>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</si>
  <si>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</si>
  <si>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</si>
  <si>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</si>
  <si>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</si>
  <si>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</si>
  <si>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</si>
  <si>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</si>
  <si>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</si>
  <si>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</si>
  <si>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</si>
  <si>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</si>
  <si>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</si>
  <si>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</si>
  <si>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</si>
  <si>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</si>
  <si>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</si>
  <si>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</si>
  <si>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</si>
  <si>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</si>
  <si>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</si>
  <si>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</si>
  <si>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</si>
  <si>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</si>
  <si>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</si>
  <si>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</si>
  <si>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</si>
  <si>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</si>
  <si>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</si>
  <si>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</si>
  <si>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</si>
  <si>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</si>
  <si>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</si>
  <si>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</si>
  <si>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</si>
  <si>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</si>
  <si>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</si>
  <si>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</si>
  <si>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</si>
  <si>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</si>
  <si>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</si>
  <si>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</si>
  <si>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</si>
  <si>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</si>
  <si>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</si>
  <si>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</si>
  <si>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</si>
  <si>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</si>
  <si>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</si>
  <si>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</si>
  <si>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</si>
  <si>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</si>
  <si>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</si>
  <si>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</si>
  <si>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</si>
  <si>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</si>
  <si>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</si>
  <si>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</si>
  <si>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</si>
  <si>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</si>
  <si>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</si>
  <si>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</si>
  <si>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</si>
  <si>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B1</t>
  </si>
  <si>
    <t>B0</t>
  </si>
  <si>
    <t>xy</t>
  </si>
  <si>
    <t>n</t>
  </si>
  <si>
    <t>X_bar</t>
  </si>
  <si>
    <t>Y_bar</t>
  </si>
  <si>
    <t>(x-x_bar)</t>
  </si>
  <si>
    <t>(y-y_bar)</t>
  </si>
  <si>
    <t>(x-x_bar)^2</t>
  </si>
  <si>
    <t>xybar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</si>
</sst>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3" fillId="0" borderId="7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V122"/>
  <sheetViews>
    <sheetView tabSelected="1" topLeftCell="F1" workbookViewId="0">
      <selection activeCell="Z3" sqref="Z3"/>
    </sheetView>
  </sheetViews>
  <sheetFormatPr defaultRowHeight="12.5" x14ac:dyDescent="0.25"/>
  <cols>
    <col min="1" max="1" width="29.81640625" customWidth="1"/>
    <col min="16" max="16" width="14.1796875" customWidth="1"/>
  </cols>
  <sheetData>
    <row r="1" spans="1:22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22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1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22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16">
        <v>1.38</v>
      </c>
      <c r="H3" s="6">
        <v>3.74</v>
      </c>
      <c r="I3" s="6">
        <v>97.3</v>
      </c>
      <c r="J3" s="6">
        <v>64.81</v>
      </c>
      <c r="K3" s="6">
        <v>5.22</v>
      </c>
      <c r="M3" t="s">
        <v>1707</v>
      </c>
      <c r="N3" t="s">
        <v>1711</v>
      </c>
      <c r="O3" t="s">
        <v>1712</v>
      </c>
      <c r="P3" t="s">
        <v>1713</v>
      </c>
      <c r="Q3" t="s">
        <v>1714</v>
      </c>
      <c r="R3" t="s">
        <v>1708</v>
      </c>
      <c r="S3" t="s">
        <v>1709</v>
      </c>
      <c r="T3" t="s">
        <v>1710</v>
      </c>
      <c r="U3" t="s">
        <v>1705</v>
      </c>
      <c r="V3" t="s">
        <v>1706</v>
      </c>
    </row>
    <row r="4" spans="1:22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16">
        <v>26.73</v>
      </c>
      <c r="H4" s="6">
        <v>2.13</v>
      </c>
      <c r="I4" s="6">
        <v>95.9</v>
      </c>
      <c r="J4" s="6">
        <v>64.489999999999995</v>
      </c>
      <c r="K4" s="6">
        <v>6.95</v>
      </c>
      <c r="M4">
        <f>C2*B2</f>
        <v>710.14940000000001</v>
      </c>
      <c r="N4">
        <f t="shared" ref="N4:N35" si="0">C2-$S$4</f>
        <v>0.42764705882353304</v>
      </c>
      <c r="O4">
        <f t="shared" ref="O4:O35" si="1">B2-$T$4</f>
        <v>0.94386554621844709</v>
      </c>
      <c r="P4">
        <f>N4^2</f>
        <v>0.18288200692041834</v>
      </c>
      <c r="Q4">
        <f>N4*O4</f>
        <v>0.40364132476518638</v>
      </c>
      <c r="R4">
        <f>COUNT(C2:C120)</f>
        <v>119</v>
      </c>
      <c r="S4">
        <f>AVERAGE(C2:C120)</f>
        <v>8.8323529411764667</v>
      </c>
      <c r="T4">
        <f>AVERAGE(B2:B120)</f>
        <v>75.746134453781551</v>
      </c>
      <c r="U4">
        <f>SUM(Q4:Q122)/SUM(P4:P122)</f>
        <v>2.8749767427563082</v>
      </c>
      <c r="V4">
        <f>T4-S4*U4</f>
        <v>50.353325164083934</v>
      </c>
    </row>
    <row r="5" spans="1:22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16">
        <v>0.84</v>
      </c>
      <c r="H5" s="6">
        <v>0.01</v>
      </c>
      <c r="I5" s="6">
        <v>96.24</v>
      </c>
      <c r="J5" s="6">
        <v>65.12</v>
      </c>
      <c r="K5" s="6">
        <v>6.24</v>
      </c>
      <c r="M5">
        <f t="shared" ref="M5:M68" si="2">C3*B3</f>
        <v>1046.4614999999999</v>
      </c>
      <c r="N5">
        <f t="shared" si="0"/>
        <v>3.1176470588235325</v>
      </c>
      <c r="O5">
        <f t="shared" si="1"/>
        <v>11.823865546218443</v>
      </c>
      <c r="P5">
        <f t="shared" ref="P5:P68" si="3">N5^2</f>
        <v>9.7197231833910234</v>
      </c>
      <c r="Q5">
        <f t="shared" ref="Q5:Q68" si="4">N5*O5</f>
        <v>36.86263964409283</v>
      </c>
    </row>
    <row r="6" spans="1:22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16">
        <v>5.3</v>
      </c>
      <c r="H6" s="6">
        <v>2.16</v>
      </c>
      <c r="I6" s="6">
        <v>95.66</v>
      </c>
      <c r="J6" s="6">
        <v>64.12</v>
      </c>
      <c r="K6" s="6">
        <v>6.18</v>
      </c>
      <c r="M6">
        <f t="shared" si="2"/>
        <v>1016.2724000000001</v>
      </c>
      <c r="N6">
        <f t="shared" si="0"/>
        <v>3.1576470588235335</v>
      </c>
      <c r="O6">
        <f t="shared" si="1"/>
        <v>9.0138655462184545</v>
      </c>
      <c r="P6">
        <f t="shared" si="3"/>
        <v>9.9707349480969114</v>
      </c>
      <c r="Q6">
        <f t="shared" si="4"/>
        <v>28.462606030647486</v>
      </c>
    </row>
    <row r="7" spans="1:22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16">
        <v>30.31</v>
      </c>
      <c r="H7" s="6">
        <v>0.52</v>
      </c>
      <c r="I7" s="6">
        <v>94.43</v>
      </c>
      <c r="J7" s="6">
        <v>67.77</v>
      </c>
      <c r="K7" s="6">
        <v>6.18</v>
      </c>
      <c r="M7">
        <f t="shared" si="2"/>
        <v>972.33749999999998</v>
      </c>
      <c r="N7">
        <f t="shared" si="0"/>
        <v>2.7776470588235327</v>
      </c>
      <c r="O7">
        <f t="shared" si="1"/>
        <v>8.0038655462184494</v>
      </c>
      <c r="P7">
        <f t="shared" si="3"/>
        <v>7.7153231833910221</v>
      </c>
      <c r="Q7">
        <f t="shared" si="4"/>
        <v>22.231913593672683</v>
      </c>
    </row>
    <row r="8" spans="1:22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16">
        <v>51.65</v>
      </c>
      <c r="H8" s="6">
        <v>3.94</v>
      </c>
      <c r="I8" s="6">
        <v>90.98</v>
      </c>
      <c r="J8" s="6">
        <v>66.3</v>
      </c>
      <c r="K8" s="6">
        <v>7.34</v>
      </c>
      <c r="M8">
        <f t="shared" si="2"/>
        <v>948.65600000000006</v>
      </c>
      <c r="N8">
        <f t="shared" si="0"/>
        <v>2.4076470588235335</v>
      </c>
      <c r="O8">
        <f t="shared" si="1"/>
        <v>8.6538655462184551</v>
      </c>
      <c r="P8">
        <f t="shared" si="3"/>
        <v>5.7967643598616112</v>
      </c>
      <c r="Q8">
        <f t="shared" si="4"/>
        <v>20.835453929807173</v>
      </c>
    </row>
    <row r="9" spans="1:22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16">
        <v>17.13</v>
      </c>
      <c r="H9" s="6">
        <v>7.72</v>
      </c>
      <c r="I9" s="6">
        <v>89.38</v>
      </c>
      <c r="J9" s="6">
        <v>69.75</v>
      </c>
      <c r="K9" s="6">
        <v>7.11</v>
      </c>
      <c r="M9">
        <f t="shared" si="2"/>
        <v>891.11049999999989</v>
      </c>
      <c r="N9">
        <f t="shared" si="0"/>
        <v>2.0176470588235329</v>
      </c>
      <c r="O9">
        <f t="shared" si="1"/>
        <v>6.3838655462184448</v>
      </c>
      <c r="P9">
        <f t="shared" si="3"/>
        <v>4.0708996539792528</v>
      </c>
      <c r="Q9">
        <f t="shared" si="4"/>
        <v>12.880387543252532</v>
      </c>
    </row>
    <row r="10" spans="1:22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16">
        <v>7.29</v>
      </c>
      <c r="H10" s="6">
        <v>5.48</v>
      </c>
      <c r="I10" s="6">
        <v>86.22</v>
      </c>
      <c r="J10" s="6">
        <v>72.63</v>
      </c>
      <c r="K10" s="6">
        <v>5.99</v>
      </c>
      <c r="M10">
        <f t="shared" si="2"/>
        <v>654.57069999999999</v>
      </c>
      <c r="N10">
        <f t="shared" si="0"/>
        <v>5.7647058823533825E-2</v>
      </c>
      <c r="O10">
        <f t="shared" si="1"/>
        <v>-2.1161344537815552</v>
      </c>
      <c r="P10">
        <f t="shared" si="3"/>
        <v>3.3231833910039692E-3</v>
      </c>
      <c r="Q10">
        <f t="shared" si="4"/>
        <v>-0.12198892733565193</v>
      </c>
    </row>
    <row r="11" spans="1:22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16">
        <v>52.91</v>
      </c>
      <c r="H11" s="6">
        <v>6.21</v>
      </c>
      <c r="I11" s="6">
        <v>95.1</v>
      </c>
      <c r="J11" s="6">
        <v>67.22</v>
      </c>
      <c r="K11" s="6">
        <v>6.36</v>
      </c>
      <c r="M11">
        <f t="shared" si="2"/>
        <v>543.8950000000001</v>
      </c>
      <c r="N11">
        <f t="shared" si="0"/>
        <v>-1.0823529411764667</v>
      </c>
      <c r="O11">
        <f t="shared" si="1"/>
        <v>-5.5661344537815438</v>
      </c>
      <c r="P11">
        <f t="shared" si="3"/>
        <v>1.171487889273348</v>
      </c>
      <c r="Q11">
        <f t="shared" si="4"/>
        <v>6.0245219970341202</v>
      </c>
    </row>
    <row r="12" spans="1:22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16">
        <v>9.44</v>
      </c>
      <c r="H12" s="6">
        <v>9.4499999999999993</v>
      </c>
      <c r="I12" s="6">
        <v>84.24</v>
      </c>
      <c r="J12" s="6">
        <v>71.34</v>
      </c>
      <c r="K12" s="6">
        <v>6.96</v>
      </c>
      <c r="M12">
        <f t="shared" si="2"/>
        <v>544.91989999999998</v>
      </c>
      <c r="N12">
        <f t="shared" si="0"/>
        <v>-0.9223529411764666</v>
      </c>
      <c r="O12">
        <f t="shared" si="1"/>
        <v>-6.8561344537815501</v>
      </c>
      <c r="P12">
        <f t="shared" si="3"/>
        <v>0.85073494809687844</v>
      </c>
      <c r="Q12">
        <f t="shared" si="4"/>
        <v>6.3237757785467199</v>
      </c>
    </row>
    <row r="13" spans="1:22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16">
        <v>8.33</v>
      </c>
      <c r="H13" s="6">
        <v>9.57</v>
      </c>
      <c r="I13" s="6">
        <v>87.64</v>
      </c>
      <c r="J13" s="6">
        <v>68.760000000000005</v>
      </c>
      <c r="K13" s="6">
        <v>3.74</v>
      </c>
      <c r="M13">
        <f t="shared" si="2"/>
        <v>704.87549999999999</v>
      </c>
      <c r="N13">
        <f t="shared" si="0"/>
        <v>0.61764705882353255</v>
      </c>
      <c r="O13">
        <f t="shared" si="1"/>
        <v>-1.1561344537815472</v>
      </c>
      <c r="P13">
        <f t="shared" si="3"/>
        <v>0.38148788927336025</v>
      </c>
      <c r="Q13">
        <f t="shared" si="4"/>
        <v>-0.71408304498272401</v>
      </c>
    </row>
    <row r="14" spans="1:22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16">
        <v>7.29</v>
      </c>
      <c r="H14" s="6">
        <v>3.27</v>
      </c>
      <c r="I14" s="6">
        <v>88.29</v>
      </c>
      <c r="J14" s="6">
        <v>68.14</v>
      </c>
      <c r="K14" s="6">
        <v>3.37</v>
      </c>
      <c r="M14">
        <f t="shared" si="2"/>
        <v>580.95209999999997</v>
      </c>
      <c r="N14">
        <f t="shared" si="0"/>
        <v>-0.52235294117646625</v>
      </c>
      <c r="O14">
        <f t="shared" si="1"/>
        <v>-5.836134453781554</v>
      </c>
      <c r="P14">
        <f t="shared" si="3"/>
        <v>0.27285259515570481</v>
      </c>
      <c r="Q14">
        <f t="shared" si="4"/>
        <v>3.0485219970341042</v>
      </c>
    </row>
    <row r="15" spans="1:22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16">
        <v>2.27</v>
      </c>
      <c r="H15" s="6">
        <v>5.83</v>
      </c>
      <c r="I15" s="6">
        <v>88</v>
      </c>
      <c r="J15" s="6">
        <v>65.84</v>
      </c>
      <c r="K15" s="6">
        <v>7.78</v>
      </c>
      <c r="M15">
        <f t="shared" si="2"/>
        <v>582.23360000000002</v>
      </c>
      <c r="N15">
        <f t="shared" si="0"/>
        <v>-0.51235294117646646</v>
      </c>
      <c r="O15">
        <f t="shared" si="1"/>
        <v>-5.7661344537815467</v>
      </c>
      <c r="P15">
        <f t="shared" si="3"/>
        <v>0.26250553633217572</v>
      </c>
      <c r="Q15">
        <f t="shared" si="4"/>
        <v>2.9542959466139331</v>
      </c>
    </row>
    <row r="16" spans="1:22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16">
        <v>20.49</v>
      </c>
      <c r="H16" s="6">
        <v>5.87</v>
      </c>
      <c r="I16" s="6">
        <v>85.43</v>
      </c>
      <c r="J16" s="6">
        <v>69.27</v>
      </c>
      <c r="K16" s="6">
        <v>6.74</v>
      </c>
      <c r="M16">
        <f t="shared" si="2"/>
        <v>613.4212</v>
      </c>
      <c r="N16">
        <f t="shared" si="0"/>
        <v>-0.50235294117646667</v>
      </c>
      <c r="O16">
        <f t="shared" si="1"/>
        <v>-2.1061344537815501</v>
      </c>
      <c r="P16">
        <f t="shared" si="3"/>
        <v>0.25235847750864659</v>
      </c>
      <c r="Q16">
        <f t="shared" si="4"/>
        <v>1.0580228373702527</v>
      </c>
    </row>
    <row r="17" spans="1:17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16">
        <v>25.94</v>
      </c>
      <c r="H17" s="6">
        <v>9.02</v>
      </c>
      <c r="I17" s="6">
        <v>87.98</v>
      </c>
      <c r="J17" s="6">
        <v>69.64</v>
      </c>
      <c r="K17" s="6">
        <v>4.01</v>
      </c>
      <c r="M17">
        <f t="shared" si="2"/>
        <v>585.36080000000004</v>
      </c>
      <c r="N17">
        <f t="shared" si="0"/>
        <v>-0.65235294117646703</v>
      </c>
      <c r="O17">
        <f t="shared" si="1"/>
        <v>-4.1861344537815484</v>
      </c>
      <c r="P17">
        <f t="shared" si="3"/>
        <v>0.42556435986158703</v>
      </c>
      <c r="Q17">
        <f t="shared" si="4"/>
        <v>2.7308371230845365</v>
      </c>
    </row>
    <row r="18" spans="1:17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1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  <c r="M18">
        <f t="shared" si="2"/>
        <v>582.73800000000006</v>
      </c>
      <c r="N18">
        <f t="shared" si="0"/>
        <v>-0.77235294117646625</v>
      </c>
      <c r="O18">
        <f t="shared" si="1"/>
        <v>-3.4461344537815535</v>
      </c>
      <c r="P18">
        <f t="shared" si="3"/>
        <v>0.59652906574393794</v>
      </c>
      <c r="Q18">
        <f t="shared" si="4"/>
        <v>2.6616320810677379</v>
      </c>
    </row>
    <row r="19" spans="1:17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16">
        <v>43.89</v>
      </c>
      <c r="H19" s="6">
        <v>0</v>
      </c>
      <c r="I19" s="6">
        <v>89.78</v>
      </c>
      <c r="J19" s="6">
        <v>66.430000000000007</v>
      </c>
      <c r="K19" s="6">
        <v>6.25</v>
      </c>
      <c r="M19">
        <f t="shared" si="2"/>
        <v>570.24630000000002</v>
      </c>
      <c r="N19">
        <f t="shared" si="0"/>
        <v>-0.84235294117646653</v>
      </c>
      <c r="O19">
        <f t="shared" si="1"/>
        <v>-4.3761344537815461</v>
      </c>
      <c r="P19">
        <f t="shared" si="3"/>
        <v>0.70955847750864365</v>
      </c>
      <c r="Q19">
        <f t="shared" si="4"/>
        <v>3.6862497281265552</v>
      </c>
    </row>
    <row r="20" spans="1:17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1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  <c r="M20">
        <f t="shared" si="2"/>
        <v>660.69019999999989</v>
      </c>
      <c r="N20">
        <f t="shared" si="0"/>
        <v>2.7647058823532689E-2</v>
      </c>
      <c r="O20">
        <f t="shared" si="1"/>
        <v>-1.1761344537815575</v>
      </c>
      <c r="P20">
        <f t="shared" si="3"/>
        <v>7.6435986159187667E-4</v>
      </c>
      <c r="Q20">
        <f t="shared" si="4"/>
        <v>-3.2516658428082205E-2</v>
      </c>
    </row>
    <row r="21" spans="1:17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16">
        <v>57.6</v>
      </c>
      <c r="H21" s="6">
        <v>3.46</v>
      </c>
      <c r="I21" s="6">
        <v>87.96</v>
      </c>
      <c r="J21" s="6">
        <v>66.62</v>
      </c>
      <c r="K21" s="6">
        <v>7.34</v>
      </c>
      <c r="M21">
        <f t="shared" si="2"/>
        <v>526.86400000000003</v>
      </c>
      <c r="N21">
        <f t="shared" si="0"/>
        <v>-1.3823529411764666</v>
      </c>
      <c r="O21">
        <f t="shared" si="1"/>
        <v>-5.0261344537815518</v>
      </c>
      <c r="P21">
        <f t="shared" si="3"/>
        <v>1.9108996539792276</v>
      </c>
      <c r="Q21">
        <f t="shared" si="4"/>
        <v>6.9478917449333011</v>
      </c>
    </row>
    <row r="22" spans="1:17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16">
        <v>69.91</v>
      </c>
      <c r="H22" s="6">
        <v>2.91</v>
      </c>
      <c r="I22" s="6">
        <v>91.98</v>
      </c>
      <c r="J22" s="6">
        <v>63.67</v>
      </c>
      <c r="K22" s="6">
        <v>8.0399999999999991</v>
      </c>
      <c r="M22">
        <f t="shared" si="2"/>
        <v>567.75400000000002</v>
      </c>
      <c r="N22">
        <f t="shared" si="0"/>
        <v>-0.95235294117646685</v>
      </c>
      <c r="O22">
        <f t="shared" si="1"/>
        <v>-3.6961344537815535</v>
      </c>
      <c r="P22">
        <f t="shared" si="3"/>
        <v>0.9069761245674669</v>
      </c>
      <c r="Q22">
        <f t="shared" si="4"/>
        <v>3.5200245180425362</v>
      </c>
    </row>
    <row r="23" spans="1:17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16">
        <v>76.959999999999994</v>
      </c>
      <c r="H23" s="6">
        <v>4.93</v>
      </c>
      <c r="I23" s="6">
        <v>90.18</v>
      </c>
      <c r="J23" s="6">
        <v>65.11</v>
      </c>
      <c r="K23" s="6">
        <v>8.82</v>
      </c>
      <c r="M23">
        <f t="shared" si="2"/>
        <v>621.51599999999996</v>
      </c>
      <c r="N23">
        <f t="shared" si="0"/>
        <v>-0.43235294117646639</v>
      </c>
      <c r="O23">
        <f t="shared" si="1"/>
        <v>-1.7561344537815557</v>
      </c>
      <c r="P23">
        <f t="shared" si="3"/>
        <v>0.186929065743941</v>
      </c>
      <c r="Q23">
        <f t="shared" si="4"/>
        <v>0.75926989619378293</v>
      </c>
    </row>
    <row r="24" spans="1:17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16">
        <v>40.85</v>
      </c>
      <c r="H24" s="6">
        <v>3.14</v>
      </c>
      <c r="I24" s="6">
        <v>81.59</v>
      </c>
      <c r="J24" s="6">
        <v>68.3</v>
      </c>
      <c r="K24" s="6">
        <v>6.7</v>
      </c>
      <c r="M24">
        <f t="shared" si="2"/>
        <v>630.42279999999982</v>
      </c>
      <c r="N24">
        <f t="shared" si="0"/>
        <v>-0.2923529411764676</v>
      </c>
      <c r="O24">
        <f t="shared" si="1"/>
        <v>-1.9261344537815575</v>
      </c>
      <c r="P24">
        <f t="shared" si="3"/>
        <v>8.5470242214531117E-2</v>
      </c>
      <c r="Q24">
        <f t="shared" si="4"/>
        <v>0.56311107266436722</v>
      </c>
    </row>
    <row r="25" spans="1:17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16">
        <v>4.87</v>
      </c>
      <c r="H25" s="6">
        <v>2.5299999999999998</v>
      </c>
      <c r="I25" s="6">
        <v>91.22</v>
      </c>
      <c r="J25" s="6">
        <v>80.12</v>
      </c>
      <c r="K25" s="6">
        <v>1.58</v>
      </c>
      <c r="M25">
        <f t="shared" si="2"/>
        <v>782.59199999999998</v>
      </c>
      <c r="N25">
        <f t="shared" si="0"/>
        <v>1.3576470588235328</v>
      </c>
      <c r="O25">
        <f t="shared" si="1"/>
        <v>1.0538655462184465</v>
      </c>
      <c r="P25">
        <f t="shared" si="3"/>
        <v>1.8432055363321891</v>
      </c>
      <c r="Q25">
        <f t="shared" si="4"/>
        <v>1.4307774592189297</v>
      </c>
    </row>
    <row r="26" spans="1:17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1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  <c r="M26">
        <f t="shared" si="2"/>
        <v>606.49889999999994</v>
      </c>
      <c r="N26">
        <f t="shared" si="0"/>
        <v>-0.26235294117646646</v>
      </c>
      <c r="O26">
        <f t="shared" si="1"/>
        <v>-4.9761344537815546</v>
      </c>
      <c r="P26">
        <f t="shared" si="3"/>
        <v>6.8829065743942472E-2</v>
      </c>
      <c r="Q26">
        <f t="shared" si="4"/>
        <v>1.3055035096391403</v>
      </c>
    </row>
    <row r="27" spans="1:17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16">
        <v>4.87</v>
      </c>
      <c r="H27" s="6">
        <v>5.97</v>
      </c>
      <c r="I27" s="6">
        <v>93.24</v>
      </c>
      <c r="J27" s="6">
        <v>62.58</v>
      </c>
      <c r="K27" s="6">
        <v>8.34</v>
      </c>
      <c r="M27">
        <f t="shared" si="2"/>
        <v>601.6241</v>
      </c>
      <c r="N27">
        <f t="shared" si="0"/>
        <v>-0.3623529411764661</v>
      </c>
      <c r="O27">
        <f t="shared" si="1"/>
        <v>-4.7161344537815495</v>
      </c>
      <c r="P27">
        <f t="shared" si="3"/>
        <v>0.13129965397923551</v>
      </c>
      <c r="Q27">
        <f t="shared" si="4"/>
        <v>1.708905190311411</v>
      </c>
    </row>
    <row r="28" spans="1:17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16">
        <v>18.29</v>
      </c>
      <c r="H28" s="6">
        <v>0.77</v>
      </c>
      <c r="I28" s="6">
        <v>95.38</v>
      </c>
      <c r="J28" s="6">
        <v>67.930000000000007</v>
      </c>
      <c r="K28" s="6">
        <v>7.4</v>
      </c>
      <c r="M28">
        <f t="shared" si="2"/>
        <v>852.7337</v>
      </c>
      <c r="N28">
        <f t="shared" si="0"/>
        <v>1.9576470588235324</v>
      </c>
      <c r="O28">
        <f t="shared" si="1"/>
        <v>3.2838655462184505</v>
      </c>
      <c r="P28">
        <f t="shared" si="3"/>
        <v>3.8323820069204269</v>
      </c>
      <c r="Q28">
        <f t="shared" si="4"/>
        <v>6.4286497281264827</v>
      </c>
    </row>
    <row r="29" spans="1:17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16">
        <v>10.09</v>
      </c>
      <c r="H29" s="6">
        <v>1.27</v>
      </c>
      <c r="I29" s="6">
        <v>96.59</v>
      </c>
      <c r="J29" s="6">
        <v>68.55</v>
      </c>
      <c r="K29" s="6">
        <v>6.29</v>
      </c>
      <c r="M29">
        <f t="shared" si="2"/>
        <v>811.08359999999993</v>
      </c>
      <c r="N29">
        <f t="shared" si="0"/>
        <v>1.6076470588235328</v>
      </c>
      <c r="O29">
        <f t="shared" si="1"/>
        <v>1.9438655462184471</v>
      </c>
      <c r="P29">
        <f t="shared" si="3"/>
        <v>2.5845290657439555</v>
      </c>
      <c r="Q29">
        <f t="shared" si="4"/>
        <v>3.1250497281264864</v>
      </c>
    </row>
    <row r="30" spans="1:17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16">
        <v>33.049999999999997</v>
      </c>
      <c r="H30" s="6">
        <v>2.96</v>
      </c>
      <c r="I30" s="6">
        <v>94.28</v>
      </c>
      <c r="J30" s="6">
        <v>65.58</v>
      </c>
      <c r="K30" s="6">
        <v>7.82</v>
      </c>
      <c r="M30">
        <f t="shared" si="2"/>
        <v>925.43750000000011</v>
      </c>
      <c r="N30">
        <f t="shared" si="0"/>
        <v>2.217647058823534</v>
      </c>
      <c r="O30">
        <f t="shared" si="1"/>
        <v>8.0038655462184494</v>
      </c>
      <c r="P30">
        <f t="shared" si="3"/>
        <v>4.9179584775086704</v>
      </c>
      <c r="Q30">
        <f t="shared" si="4"/>
        <v>17.749748887790361</v>
      </c>
    </row>
    <row r="31" spans="1:17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16">
        <v>29.16</v>
      </c>
      <c r="H31" s="6">
        <v>5</v>
      </c>
      <c r="I31" s="6">
        <v>94.26</v>
      </c>
      <c r="J31" s="6">
        <v>62.89</v>
      </c>
      <c r="K31" s="6">
        <v>6.27</v>
      </c>
      <c r="M31">
        <f t="shared" si="2"/>
        <v>832.43940000000009</v>
      </c>
      <c r="N31">
        <f t="shared" si="0"/>
        <v>1.8276470588235334</v>
      </c>
      <c r="O31">
        <f t="shared" si="1"/>
        <v>2.3438655462184528</v>
      </c>
      <c r="P31">
        <f t="shared" si="3"/>
        <v>3.3402937716263121</v>
      </c>
      <c r="Q31">
        <f t="shared" si="4"/>
        <v>4.2837589718239695</v>
      </c>
    </row>
    <row r="32" spans="1:17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16">
        <v>44.83</v>
      </c>
      <c r="H32" s="6">
        <v>2.81</v>
      </c>
      <c r="I32" s="6">
        <v>92.78</v>
      </c>
      <c r="J32" s="6">
        <v>66.52</v>
      </c>
      <c r="K32" s="6">
        <v>8.9700000000000006</v>
      </c>
      <c r="M32">
        <f t="shared" si="2"/>
        <v>994.245</v>
      </c>
      <c r="N32">
        <f t="shared" si="0"/>
        <v>3.0676470588235336</v>
      </c>
      <c r="O32">
        <f t="shared" si="1"/>
        <v>7.8038655462184465</v>
      </c>
      <c r="P32">
        <f t="shared" si="3"/>
        <v>9.4104584775086764</v>
      </c>
      <c r="Q32">
        <f t="shared" si="4"/>
        <v>23.939505190311326</v>
      </c>
    </row>
    <row r="33" spans="1:17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16">
        <v>13.41</v>
      </c>
      <c r="H33" s="6">
        <v>5.46</v>
      </c>
      <c r="I33" s="6">
        <v>92.98</v>
      </c>
      <c r="J33" s="6">
        <v>68.92</v>
      </c>
      <c r="K33" s="6">
        <v>6.49</v>
      </c>
      <c r="M33">
        <f t="shared" si="2"/>
        <v>961.71899999999994</v>
      </c>
      <c r="N33">
        <f t="shared" si="0"/>
        <v>2.7476470588235333</v>
      </c>
      <c r="O33">
        <f t="shared" si="1"/>
        <v>7.3038655462184465</v>
      </c>
      <c r="P33">
        <f t="shared" si="3"/>
        <v>7.5495643598616136</v>
      </c>
      <c r="Q33">
        <f t="shared" si="4"/>
        <v>20.068444686109654</v>
      </c>
    </row>
    <row r="34" spans="1:17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16">
        <v>10.29</v>
      </c>
      <c r="H34" s="6">
        <v>3.91</v>
      </c>
      <c r="I34" s="6">
        <v>88.93</v>
      </c>
      <c r="J34" s="6">
        <v>67.22</v>
      </c>
      <c r="K34" s="6">
        <v>5.44</v>
      </c>
      <c r="M34">
        <f t="shared" si="2"/>
        <v>921.04100000000005</v>
      </c>
      <c r="N34">
        <f t="shared" si="0"/>
        <v>2.6376470588235339</v>
      </c>
      <c r="O34">
        <f t="shared" si="1"/>
        <v>4.5538655462184465</v>
      </c>
      <c r="P34">
        <f t="shared" si="3"/>
        <v>6.9571820069204389</v>
      </c>
      <c r="Q34">
        <f t="shared" si="4"/>
        <v>12.011490064260911</v>
      </c>
    </row>
    <row r="35" spans="1:17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16">
        <v>55.46</v>
      </c>
      <c r="H35" s="6">
        <v>1.06</v>
      </c>
      <c r="I35" s="6">
        <v>87.82</v>
      </c>
      <c r="J35" s="6">
        <v>67.95</v>
      </c>
      <c r="K35" s="6">
        <v>7.83</v>
      </c>
      <c r="M35">
        <f t="shared" si="2"/>
        <v>749.6558</v>
      </c>
      <c r="N35">
        <f t="shared" si="0"/>
        <v>1.0276470588235327</v>
      </c>
      <c r="O35">
        <f t="shared" si="1"/>
        <v>0.2838655462184505</v>
      </c>
      <c r="P35">
        <f t="shared" si="3"/>
        <v>1.0560584775086572</v>
      </c>
      <c r="Q35">
        <f t="shared" si="4"/>
        <v>0.29171359367272626</v>
      </c>
    </row>
    <row r="36" spans="1:17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16">
        <v>26.4</v>
      </c>
      <c r="H36" s="6">
        <v>5.05</v>
      </c>
      <c r="I36" s="6">
        <v>89.64</v>
      </c>
      <c r="J36" s="6">
        <v>68.03</v>
      </c>
      <c r="K36" s="6">
        <v>6.18</v>
      </c>
      <c r="M36">
        <f t="shared" si="2"/>
        <v>686.34150000000011</v>
      </c>
      <c r="N36">
        <f t="shared" ref="N36:N67" si="5">C34-$S$4</f>
        <v>0.31764705882353361</v>
      </c>
      <c r="O36">
        <f t="shared" ref="O36:O67" si="6">B34-$T$4</f>
        <v>-0.73613445378154552</v>
      </c>
      <c r="P36">
        <f t="shared" si="3"/>
        <v>0.10089965397924142</v>
      </c>
      <c r="Q36">
        <f t="shared" si="4"/>
        <v>-0.23383094414237637</v>
      </c>
    </row>
    <row r="37" spans="1:17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16">
        <v>28.27</v>
      </c>
      <c r="H37" s="6">
        <v>4.25</v>
      </c>
      <c r="I37" s="6">
        <v>93.92</v>
      </c>
      <c r="J37" s="6">
        <v>74.47</v>
      </c>
      <c r="K37" s="6">
        <v>4.96</v>
      </c>
      <c r="M37">
        <f t="shared" si="2"/>
        <v>536.87</v>
      </c>
      <c r="N37">
        <f t="shared" si="5"/>
        <v>-1.4323529411764664</v>
      </c>
      <c r="O37">
        <f t="shared" si="6"/>
        <v>-3.1961344537815535</v>
      </c>
      <c r="P37">
        <f t="shared" si="3"/>
        <v>2.0516349480968739</v>
      </c>
      <c r="Q37">
        <f t="shared" si="4"/>
        <v>4.5779925852694472</v>
      </c>
    </row>
    <row r="38" spans="1:17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16">
        <v>16.57</v>
      </c>
      <c r="H38" s="6">
        <v>4.37</v>
      </c>
      <c r="I38" s="6">
        <v>95.11</v>
      </c>
      <c r="J38" s="6">
        <v>73.38</v>
      </c>
      <c r="K38" s="6">
        <v>5.57</v>
      </c>
      <c r="M38">
        <f t="shared" si="2"/>
        <v>589.45319999999992</v>
      </c>
      <c r="N38">
        <f t="shared" si="5"/>
        <v>-0.9223529411764666</v>
      </c>
      <c r="O38">
        <f t="shared" si="6"/>
        <v>-1.2261344537815546</v>
      </c>
      <c r="P38">
        <f t="shared" si="3"/>
        <v>0.85073494809687844</v>
      </c>
      <c r="Q38">
        <f t="shared" si="4"/>
        <v>1.1309287197232172</v>
      </c>
    </row>
    <row r="39" spans="1:17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16">
        <v>22.69</v>
      </c>
      <c r="H39" s="6">
        <v>6</v>
      </c>
      <c r="I39" s="6">
        <v>93.39</v>
      </c>
      <c r="J39" s="6">
        <v>77.37</v>
      </c>
      <c r="K39" s="6">
        <v>5.07</v>
      </c>
      <c r="M39">
        <f t="shared" si="2"/>
        <v>522.33920000000001</v>
      </c>
      <c r="N39">
        <f t="shared" si="5"/>
        <v>-1.4723529411764664</v>
      </c>
      <c r="O39">
        <f t="shared" si="6"/>
        <v>-4.7761344537815518</v>
      </c>
      <c r="P39">
        <f t="shared" si="3"/>
        <v>2.1678231833909911</v>
      </c>
      <c r="Q39">
        <f t="shared" si="4"/>
        <v>7.0321556104795233</v>
      </c>
    </row>
    <row r="40" spans="1:17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1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  <c r="M40">
        <f t="shared" si="2"/>
        <v>478.28940000000006</v>
      </c>
      <c r="N40">
        <f t="shared" si="5"/>
        <v>-1.9623529411764666</v>
      </c>
      <c r="O40">
        <f t="shared" si="6"/>
        <v>-6.1261344537815461</v>
      </c>
      <c r="P40">
        <f t="shared" si="3"/>
        <v>3.850829065743929</v>
      </c>
      <c r="Q40">
        <f t="shared" si="4"/>
        <v>12.021637963420703</v>
      </c>
    </row>
    <row r="41" spans="1:17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16">
        <v>17.72</v>
      </c>
      <c r="H41" s="6">
        <v>1.42</v>
      </c>
      <c r="I41" s="6">
        <v>92.94</v>
      </c>
      <c r="J41" s="6">
        <v>74.97</v>
      </c>
      <c r="K41" s="6">
        <v>4.0199999999999996</v>
      </c>
      <c r="M41">
        <f t="shared" si="2"/>
        <v>570.41759999999999</v>
      </c>
      <c r="N41">
        <f t="shared" si="5"/>
        <v>-0.96235294117646664</v>
      </c>
      <c r="O41">
        <f t="shared" si="6"/>
        <v>-3.2661344537815467</v>
      </c>
      <c r="P41">
        <f t="shared" si="3"/>
        <v>0.92612318339099586</v>
      </c>
      <c r="Q41">
        <f t="shared" si="4"/>
        <v>3.1431740978744638</v>
      </c>
    </row>
    <row r="42" spans="1:17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16">
        <v>24.46</v>
      </c>
      <c r="H42" s="6">
        <v>6.54</v>
      </c>
      <c r="I42" s="6">
        <v>92.93</v>
      </c>
      <c r="J42" s="6">
        <v>77.72</v>
      </c>
      <c r="K42" s="6">
        <v>3.55</v>
      </c>
      <c r="M42">
        <f t="shared" si="2"/>
        <v>650.13400000000001</v>
      </c>
      <c r="N42">
        <f t="shared" si="5"/>
        <v>-0.18235294117646639</v>
      </c>
      <c r="O42">
        <f t="shared" si="6"/>
        <v>-0.58613445378155404</v>
      </c>
      <c r="P42">
        <f t="shared" si="3"/>
        <v>3.3252595155707811E-2</v>
      </c>
      <c r="Q42">
        <f t="shared" si="4"/>
        <v>0.10688334157192798</v>
      </c>
    </row>
    <row r="43" spans="1:17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16">
        <v>31.48</v>
      </c>
      <c r="H43" s="6">
        <v>6.5</v>
      </c>
      <c r="I43" s="6">
        <v>94.76</v>
      </c>
      <c r="J43" s="6">
        <v>75.25</v>
      </c>
      <c r="K43" s="6">
        <v>3.16</v>
      </c>
      <c r="M43">
        <f t="shared" si="2"/>
        <v>487.34699999999998</v>
      </c>
      <c r="N43">
        <f t="shared" si="5"/>
        <v>-1.9323529411764664</v>
      </c>
      <c r="O43">
        <f t="shared" si="6"/>
        <v>-5.1161344537815552</v>
      </c>
      <c r="P43">
        <f t="shared" si="3"/>
        <v>3.7339878892733402</v>
      </c>
      <c r="Q43">
        <f t="shared" si="4"/>
        <v>9.8861774592190432</v>
      </c>
    </row>
    <row r="44" spans="1:17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1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  <c r="M44">
        <f t="shared" si="2"/>
        <v>564.54300000000001</v>
      </c>
      <c r="N44">
        <f t="shared" si="5"/>
        <v>-1.0023529411764667</v>
      </c>
      <c r="O44">
        <f t="shared" si="6"/>
        <v>-3.6461344537815563</v>
      </c>
      <c r="P44">
        <f t="shared" si="3"/>
        <v>1.0047114186851132</v>
      </c>
      <c r="Q44">
        <f t="shared" si="4"/>
        <v>3.6547135936727928</v>
      </c>
    </row>
    <row r="45" spans="1:17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16">
        <v>38.15</v>
      </c>
      <c r="H45" s="6">
        <v>3.63</v>
      </c>
      <c r="I45" s="6">
        <v>97.87</v>
      </c>
      <c r="J45" s="6">
        <v>68.209999999999994</v>
      </c>
      <c r="K45" s="6">
        <v>3.65</v>
      </c>
      <c r="M45">
        <f t="shared" si="2"/>
        <v>620.59319999999991</v>
      </c>
      <c r="N45">
        <f t="shared" si="5"/>
        <v>-0.66235294117646681</v>
      </c>
      <c r="O45">
        <f t="shared" si="6"/>
        <v>0.21386554621844311</v>
      </c>
      <c r="P45">
        <f t="shared" si="3"/>
        <v>0.43871141868511609</v>
      </c>
      <c r="Q45">
        <f t="shared" si="4"/>
        <v>-0.14165447355409741</v>
      </c>
    </row>
    <row r="46" spans="1:17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16">
        <v>19.25</v>
      </c>
      <c r="H46" s="6">
        <v>6.49</v>
      </c>
      <c r="I46" s="6">
        <v>92.27</v>
      </c>
      <c r="J46" s="6">
        <v>77.75</v>
      </c>
      <c r="K46" s="6">
        <v>2.4</v>
      </c>
      <c r="M46">
        <f t="shared" si="2"/>
        <v>726.10639999999989</v>
      </c>
      <c r="N46">
        <f t="shared" si="5"/>
        <v>0.4576470588235324</v>
      </c>
      <c r="O46">
        <f t="shared" si="6"/>
        <v>2.413865546218446</v>
      </c>
      <c r="P46">
        <f t="shared" si="3"/>
        <v>0.20944083044982972</v>
      </c>
      <c r="Q46">
        <f t="shared" si="4"/>
        <v>1.1046984676223313</v>
      </c>
    </row>
    <row r="47" spans="1:17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16">
        <v>46.97</v>
      </c>
      <c r="H47" s="6">
        <v>5.4</v>
      </c>
      <c r="I47" s="6">
        <v>97.13</v>
      </c>
      <c r="J47" s="6">
        <v>74.569999999999993</v>
      </c>
      <c r="K47" s="6">
        <v>3.47</v>
      </c>
      <c r="M47">
        <f t="shared" si="2"/>
        <v>793.79300000000001</v>
      </c>
      <c r="N47">
        <f t="shared" si="5"/>
        <v>1.177647058823533</v>
      </c>
      <c r="O47">
        <f t="shared" si="6"/>
        <v>3.5538655462184465</v>
      </c>
      <c r="P47">
        <f t="shared" si="3"/>
        <v>1.3868525951557178</v>
      </c>
      <c r="Q47">
        <f t="shared" si="4"/>
        <v>4.1851993079584426</v>
      </c>
    </row>
    <row r="48" spans="1:17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1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  <c r="M48">
        <f t="shared" si="2"/>
        <v>557.10720000000003</v>
      </c>
      <c r="N48">
        <f t="shared" si="5"/>
        <v>-1.152352941176467</v>
      </c>
      <c r="O48">
        <f t="shared" si="6"/>
        <v>-3.2061344537815444</v>
      </c>
      <c r="P48">
        <f t="shared" si="3"/>
        <v>1.3279173010380541</v>
      </c>
      <c r="Q48">
        <f t="shared" si="4"/>
        <v>3.6945984676223684</v>
      </c>
    </row>
    <row r="49" spans="1:17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16">
        <v>14.79</v>
      </c>
      <c r="H49" s="6">
        <v>5.55</v>
      </c>
      <c r="I49" s="6">
        <v>86.4</v>
      </c>
      <c r="J49" s="6">
        <v>76.56</v>
      </c>
      <c r="K49" s="6">
        <v>3.23</v>
      </c>
      <c r="M49">
        <f t="shared" si="2"/>
        <v>723.29859999999996</v>
      </c>
      <c r="N49">
        <f t="shared" si="5"/>
        <v>0.42764705882353304</v>
      </c>
      <c r="O49">
        <f t="shared" si="6"/>
        <v>2.3638655462184488</v>
      </c>
      <c r="P49">
        <f t="shared" si="3"/>
        <v>0.18288200692041834</v>
      </c>
      <c r="Q49">
        <f t="shared" si="4"/>
        <v>1.0109001482946041</v>
      </c>
    </row>
    <row r="50" spans="1:17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16">
        <v>10.91</v>
      </c>
      <c r="H50" s="6">
        <v>5.16</v>
      </c>
      <c r="I50" s="6">
        <v>85.85</v>
      </c>
      <c r="J50" s="6">
        <v>73.510000000000005</v>
      </c>
      <c r="K50" s="6">
        <v>3.67</v>
      </c>
      <c r="M50">
        <f t="shared" si="2"/>
        <v>595.17639999999994</v>
      </c>
      <c r="N50">
        <f t="shared" si="5"/>
        <v>-0.95235294117646685</v>
      </c>
      <c r="O50">
        <f t="shared" si="6"/>
        <v>-0.2161344537815495</v>
      </c>
      <c r="P50">
        <f t="shared" si="3"/>
        <v>0.9069761245674669</v>
      </c>
      <c r="Q50">
        <f t="shared" si="4"/>
        <v>0.2058362827484278</v>
      </c>
    </row>
    <row r="51" spans="1:17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16">
        <v>24.39</v>
      </c>
      <c r="H51" s="6">
        <v>5.61</v>
      </c>
      <c r="I51" s="6">
        <v>88.45</v>
      </c>
      <c r="J51" s="6">
        <v>74.5</v>
      </c>
      <c r="K51" s="6">
        <v>2.84</v>
      </c>
      <c r="M51">
        <f t="shared" si="2"/>
        <v>525.0258</v>
      </c>
      <c r="N51">
        <f t="shared" si="5"/>
        <v>-1.5423529411764667</v>
      </c>
      <c r="O51">
        <f t="shared" si="6"/>
        <v>-3.7261344537815546</v>
      </c>
      <c r="P51">
        <f t="shared" si="3"/>
        <v>2.3788525951556974</v>
      </c>
      <c r="Q51">
        <f t="shared" si="4"/>
        <v>5.747014434008948</v>
      </c>
    </row>
    <row r="52" spans="1:17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16">
        <v>28.78</v>
      </c>
      <c r="H52" s="6">
        <v>6.26</v>
      </c>
      <c r="I52" s="6">
        <v>92.46</v>
      </c>
      <c r="J52" s="6">
        <v>76.75</v>
      </c>
      <c r="K52" s="6">
        <v>3.87</v>
      </c>
      <c r="M52">
        <f t="shared" si="2"/>
        <v>518.50919999999996</v>
      </c>
      <c r="N52">
        <f t="shared" si="5"/>
        <v>-1.572352941176467</v>
      </c>
      <c r="O52">
        <f t="shared" si="6"/>
        <v>-4.3261344537815489</v>
      </c>
      <c r="P52">
        <f t="shared" si="3"/>
        <v>2.4722937716262861</v>
      </c>
      <c r="Q52">
        <f t="shared" si="4"/>
        <v>6.8022102323282665</v>
      </c>
    </row>
    <row r="53" spans="1:17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16">
        <v>77.709999999999994</v>
      </c>
      <c r="H53" s="6">
        <v>1.76</v>
      </c>
      <c r="I53" s="6">
        <v>93.92</v>
      </c>
      <c r="J53" s="6">
        <v>75.53</v>
      </c>
      <c r="K53" s="6">
        <v>3.19</v>
      </c>
      <c r="M53">
        <f t="shared" si="2"/>
        <v>560.65690000000006</v>
      </c>
      <c r="N53">
        <f t="shared" si="5"/>
        <v>-1.1023529411764663</v>
      </c>
      <c r="O53">
        <f t="shared" si="6"/>
        <v>-3.2161344537815495</v>
      </c>
      <c r="P53">
        <f t="shared" si="3"/>
        <v>1.2151820069204058</v>
      </c>
      <c r="Q53">
        <f t="shared" si="4"/>
        <v>3.5453152743450591</v>
      </c>
    </row>
    <row r="54" spans="1:17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16">
        <v>34.01</v>
      </c>
      <c r="H54" s="6">
        <v>2.97</v>
      </c>
      <c r="I54" s="6">
        <v>91.63</v>
      </c>
      <c r="J54" s="6">
        <v>71.94</v>
      </c>
      <c r="K54" s="6">
        <v>3.34</v>
      </c>
      <c r="M54">
        <f t="shared" si="2"/>
        <v>579.46199999999999</v>
      </c>
      <c r="N54">
        <f t="shared" si="5"/>
        <v>-1.0123529411764665</v>
      </c>
      <c r="O54">
        <f t="shared" si="6"/>
        <v>-1.6461344537815563</v>
      </c>
      <c r="P54">
        <f t="shared" si="3"/>
        <v>1.0248584775086422</v>
      </c>
      <c r="Q54">
        <f t="shared" si="4"/>
        <v>1.6664690558576747</v>
      </c>
    </row>
    <row r="55" spans="1:17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16">
        <v>31.66</v>
      </c>
      <c r="H55" s="6">
        <v>4.7699999999999996</v>
      </c>
      <c r="I55" s="6">
        <v>91.19</v>
      </c>
      <c r="J55" s="6">
        <v>72.36</v>
      </c>
      <c r="K55" s="6">
        <v>4.75</v>
      </c>
      <c r="M55">
        <f t="shared" si="2"/>
        <v>721.91349999999989</v>
      </c>
      <c r="N55">
        <f t="shared" si="5"/>
        <v>0.5176470588235329</v>
      </c>
      <c r="O55">
        <f t="shared" si="6"/>
        <v>1.4638655462184431</v>
      </c>
      <c r="P55">
        <f t="shared" si="3"/>
        <v>0.26795847750865415</v>
      </c>
      <c r="Q55">
        <f t="shared" si="4"/>
        <v>0.75776569451308151</v>
      </c>
    </row>
    <row r="56" spans="1:17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16">
        <v>38.71</v>
      </c>
      <c r="H56" s="6">
        <v>3.86</v>
      </c>
      <c r="I56" s="6">
        <v>96.63</v>
      </c>
      <c r="J56" s="6">
        <v>79.290000000000006</v>
      </c>
      <c r="K56" s="6">
        <v>3.73</v>
      </c>
      <c r="M56">
        <f t="shared" si="2"/>
        <v>614.62639999999988</v>
      </c>
      <c r="N56">
        <f t="shared" si="5"/>
        <v>-0.56235294117646717</v>
      </c>
      <c r="O56">
        <f t="shared" si="6"/>
        <v>-1.4261344537815575</v>
      </c>
      <c r="P56">
        <f t="shared" si="3"/>
        <v>0.31624083044982315</v>
      </c>
      <c r="Q56">
        <f t="shared" si="4"/>
        <v>0.80199090459715328</v>
      </c>
    </row>
    <row r="57" spans="1:17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16">
        <v>25.53</v>
      </c>
      <c r="H57" s="6">
        <v>3.05</v>
      </c>
      <c r="I57" s="6">
        <v>96.13</v>
      </c>
      <c r="J57" s="6">
        <v>78.06</v>
      </c>
      <c r="K57" s="6">
        <v>2.35</v>
      </c>
      <c r="M57">
        <f t="shared" si="2"/>
        <v>617.43959999999993</v>
      </c>
      <c r="N57">
        <f t="shared" si="5"/>
        <v>-0.55235294117646738</v>
      </c>
      <c r="O57">
        <f t="shared" si="6"/>
        <v>-1.1761344537815575</v>
      </c>
      <c r="P57">
        <f t="shared" si="3"/>
        <v>0.30509377162629403</v>
      </c>
      <c r="Q57">
        <f t="shared" si="4"/>
        <v>0.64964132476522118</v>
      </c>
    </row>
    <row r="58" spans="1:17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1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  <c r="M58">
        <f t="shared" si="2"/>
        <v>617.46720000000005</v>
      </c>
      <c r="N58">
        <f t="shared" si="5"/>
        <v>-0.6723529411764666</v>
      </c>
      <c r="O58">
        <f t="shared" si="6"/>
        <v>-7.6134453781548928E-2</v>
      </c>
      <c r="P58">
        <f t="shared" si="3"/>
        <v>0.45205847750864514</v>
      </c>
      <c r="Q58">
        <f t="shared" si="4"/>
        <v>5.1189223924888179E-2</v>
      </c>
    </row>
    <row r="59" spans="1:17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16">
        <v>34.89</v>
      </c>
      <c r="H59" s="6">
        <v>5.29</v>
      </c>
      <c r="I59" s="6">
        <v>92.59</v>
      </c>
      <c r="J59" s="6">
        <v>77.91</v>
      </c>
      <c r="K59" s="6">
        <v>5.67</v>
      </c>
      <c r="M59">
        <f t="shared" si="2"/>
        <v>541.10580000000004</v>
      </c>
      <c r="N59">
        <f t="shared" si="5"/>
        <v>-1.3023529411764665</v>
      </c>
      <c r="O59">
        <f t="shared" si="6"/>
        <v>-3.8861344537815512</v>
      </c>
      <c r="P59">
        <f t="shared" si="3"/>
        <v>1.6961231833909929</v>
      </c>
      <c r="Q59">
        <f t="shared" si="4"/>
        <v>5.0611186356896045</v>
      </c>
    </row>
    <row r="60" spans="1:17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16">
        <v>29.66</v>
      </c>
      <c r="H60" s="6">
        <v>2.96</v>
      </c>
      <c r="I60" s="6">
        <v>92.87</v>
      </c>
      <c r="J60" s="6">
        <v>76.38</v>
      </c>
      <c r="K60" s="6">
        <v>3.3</v>
      </c>
      <c r="M60">
        <f t="shared" si="2"/>
        <v>575.39160000000004</v>
      </c>
      <c r="N60">
        <f t="shared" si="5"/>
        <v>-1.0923529411764665</v>
      </c>
      <c r="O60">
        <f t="shared" si="6"/>
        <v>-1.4061344537815472</v>
      </c>
      <c r="P60">
        <f t="shared" si="3"/>
        <v>1.1932349480968769</v>
      </c>
      <c r="Q60">
        <f t="shared" si="4"/>
        <v>1.5359951062778374</v>
      </c>
    </row>
    <row r="61" spans="1:17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16">
        <v>22.51</v>
      </c>
      <c r="H61" s="6">
        <v>4.34</v>
      </c>
      <c r="I61" s="6">
        <v>87.3</v>
      </c>
      <c r="J61" s="6">
        <v>72.239999999999995</v>
      </c>
      <c r="K61" s="6">
        <v>6.63</v>
      </c>
      <c r="M61">
        <f t="shared" si="2"/>
        <v>500.76840000000004</v>
      </c>
      <c r="N61">
        <f t="shared" si="5"/>
        <v>-1.7523529411764667</v>
      </c>
      <c r="O61">
        <f t="shared" si="6"/>
        <v>-5.0161344537815467</v>
      </c>
      <c r="P61">
        <f t="shared" si="3"/>
        <v>3.0707408304498132</v>
      </c>
      <c r="Q61">
        <f t="shared" si="4"/>
        <v>8.7900379634207031</v>
      </c>
    </row>
    <row r="62" spans="1:17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1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  <c r="M62">
        <f t="shared" si="2"/>
        <v>538.18600000000004</v>
      </c>
      <c r="N62">
        <f t="shared" si="5"/>
        <v>-1.3523529411764663</v>
      </c>
      <c r="O62">
        <f t="shared" si="6"/>
        <v>-3.7961344537815478</v>
      </c>
      <c r="P62">
        <f t="shared" si="3"/>
        <v>1.8288584775086389</v>
      </c>
      <c r="Q62">
        <f t="shared" si="4"/>
        <v>5.1337135936727947</v>
      </c>
    </row>
    <row r="63" spans="1:17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16">
        <v>19.309999999999999</v>
      </c>
      <c r="H63" s="6">
        <v>6.16</v>
      </c>
      <c r="I63" s="6">
        <v>87.54</v>
      </c>
      <c r="J63" s="6">
        <v>71.92</v>
      </c>
      <c r="K63" s="6">
        <v>8.35</v>
      </c>
      <c r="M63">
        <f t="shared" si="2"/>
        <v>450.34399999999999</v>
      </c>
      <c r="N63">
        <f t="shared" si="5"/>
        <v>-2.2723529411764671</v>
      </c>
      <c r="O63">
        <f t="shared" si="6"/>
        <v>-7.0961344537815449</v>
      </c>
      <c r="P63">
        <f t="shared" si="3"/>
        <v>5.1635878892733409</v>
      </c>
      <c r="Q63">
        <f t="shared" si="4"/>
        <v>16.124921997034157</v>
      </c>
    </row>
    <row r="64" spans="1:17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1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  <c r="M64">
        <f t="shared" si="2"/>
        <v>527.71199999999999</v>
      </c>
      <c r="N64">
        <f t="shared" si="5"/>
        <v>-1.4723529411764664</v>
      </c>
      <c r="O64">
        <f t="shared" si="6"/>
        <v>-4.0461344537815478</v>
      </c>
      <c r="P64">
        <f t="shared" si="3"/>
        <v>2.1678231833909911</v>
      </c>
      <c r="Q64">
        <f t="shared" si="4"/>
        <v>5.9573379634206978</v>
      </c>
    </row>
    <row r="65" spans="1:17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1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  <c r="M65">
        <f t="shared" si="2"/>
        <v>449.85380000000004</v>
      </c>
      <c r="N65">
        <f t="shared" si="5"/>
        <v>-2.4223529411764666</v>
      </c>
      <c r="O65">
        <f t="shared" si="6"/>
        <v>-5.5661344537815438</v>
      </c>
      <c r="P65">
        <f t="shared" si="3"/>
        <v>5.8677937716262782</v>
      </c>
      <c r="Q65">
        <f t="shared" si="4"/>
        <v>13.483142165101388</v>
      </c>
    </row>
    <row r="66" spans="1:17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16">
        <v>33.14</v>
      </c>
      <c r="H66" s="6">
        <v>3.77</v>
      </c>
      <c r="I66" s="6">
        <v>95.49</v>
      </c>
      <c r="J66" s="6">
        <v>70.72</v>
      </c>
      <c r="K66" s="6">
        <v>3.86</v>
      </c>
      <c r="M66">
        <f t="shared" si="2"/>
        <v>938.97450000000003</v>
      </c>
      <c r="N66">
        <f t="shared" si="5"/>
        <v>2.597647058823533</v>
      </c>
      <c r="O66">
        <f t="shared" si="6"/>
        <v>6.4038655462184551</v>
      </c>
      <c r="P66">
        <f t="shared" si="3"/>
        <v>6.7477702422145516</v>
      </c>
      <c r="Q66">
        <f t="shared" si="4"/>
        <v>16.634982501235726</v>
      </c>
    </row>
    <row r="67" spans="1:17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16">
        <v>28.35</v>
      </c>
      <c r="H67" s="6">
        <v>2.4300000000000002</v>
      </c>
      <c r="I67" s="6">
        <v>96.28</v>
      </c>
      <c r="J67" s="6">
        <v>69.88</v>
      </c>
      <c r="K67" s="6">
        <v>5.82</v>
      </c>
      <c r="M67">
        <f t="shared" si="2"/>
        <v>949.61249999999995</v>
      </c>
      <c r="N67">
        <f t="shared" si="5"/>
        <v>2.4176470588235333</v>
      </c>
      <c r="O67">
        <f t="shared" si="6"/>
        <v>8.663865546218446</v>
      </c>
      <c r="P67">
        <f t="shared" si="3"/>
        <v>5.845017301038081</v>
      </c>
      <c r="Q67">
        <f t="shared" si="4"/>
        <v>20.94616905585757</v>
      </c>
    </row>
    <row r="68" spans="1:17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16">
        <v>19.86</v>
      </c>
      <c r="H68" s="6">
        <v>0.79</v>
      </c>
      <c r="I68" s="6">
        <v>95.49</v>
      </c>
      <c r="J68" s="6">
        <v>76.06</v>
      </c>
      <c r="K68" s="6">
        <v>4.91</v>
      </c>
      <c r="M68">
        <f t="shared" si="2"/>
        <v>984.06560000000002</v>
      </c>
      <c r="N68">
        <f t="shared" ref="N68:N99" si="7">C66-$S$4</f>
        <v>2.6476470588235337</v>
      </c>
      <c r="O68">
        <f t="shared" ref="O68:O99" si="8">B66-$T$4</f>
        <v>9.9738655462184482</v>
      </c>
      <c r="P68">
        <f t="shared" si="3"/>
        <v>7.0100349480969086</v>
      </c>
      <c r="Q68">
        <f t="shared" si="4"/>
        <v>26.407275778546651</v>
      </c>
    </row>
    <row r="69" spans="1:17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16">
        <v>16.68</v>
      </c>
      <c r="H69" s="6">
        <v>5.19</v>
      </c>
      <c r="I69" s="6">
        <v>93.92</v>
      </c>
      <c r="J69" s="6">
        <v>69.61</v>
      </c>
      <c r="K69" s="6">
        <v>5.88</v>
      </c>
      <c r="M69">
        <f t="shared" ref="M69:M122" si="9">C67*B67</f>
        <v>941.90200000000004</v>
      </c>
      <c r="N69">
        <f t="shared" si="7"/>
        <v>2.217647058823534</v>
      </c>
      <c r="O69">
        <f t="shared" si="8"/>
        <v>9.4938655462184443</v>
      </c>
      <c r="P69">
        <f t="shared" ref="P69:P122" si="10">N69^2</f>
        <v>4.9179584775086704</v>
      </c>
      <c r="Q69">
        <f t="shared" ref="Q69:Q122" si="11">N69*O69</f>
        <v>21.054043005437418</v>
      </c>
    </row>
    <row r="70" spans="1:17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1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  <c r="M70">
        <f t="shared" si="9"/>
        <v>721.14139999999998</v>
      </c>
      <c r="N70">
        <f t="shared" si="7"/>
        <v>0.50764705882353311</v>
      </c>
      <c r="O70">
        <f t="shared" si="8"/>
        <v>1.4638655462184431</v>
      </c>
      <c r="P70">
        <f t="shared" si="10"/>
        <v>0.25770553633218368</v>
      </c>
      <c r="Q70">
        <f t="shared" si="11"/>
        <v>0.74312703905089739</v>
      </c>
    </row>
    <row r="71" spans="1:17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16">
        <v>14.08</v>
      </c>
      <c r="H71" s="6">
        <v>3.75</v>
      </c>
      <c r="I71" s="6">
        <v>96.05</v>
      </c>
      <c r="J71" s="6">
        <v>74.87</v>
      </c>
      <c r="K71" s="6">
        <v>3.62</v>
      </c>
      <c r="M71">
        <f t="shared" si="9"/>
        <v>719.19999999999993</v>
      </c>
      <c r="N71">
        <f t="shared" si="7"/>
        <v>0.44764705882353262</v>
      </c>
      <c r="O71">
        <f t="shared" si="8"/>
        <v>1.7538655462184494</v>
      </c>
      <c r="P71">
        <f t="shared" si="10"/>
        <v>0.20038788927335927</v>
      </c>
      <c r="Q71">
        <f t="shared" si="11"/>
        <v>0.78511275333661734</v>
      </c>
    </row>
    <row r="72" spans="1:17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16">
        <v>8.3800000000000008</v>
      </c>
      <c r="H72" s="6">
        <v>3.76</v>
      </c>
      <c r="I72" s="6">
        <v>87.13</v>
      </c>
      <c r="J72" s="6">
        <v>76.87</v>
      </c>
      <c r="K72" s="6">
        <v>2.16</v>
      </c>
      <c r="M72">
        <f t="shared" si="9"/>
        <v>700.85599999999999</v>
      </c>
      <c r="N72">
        <f t="shared" si="7"/>
        <v>0.36764705882353255</v>
      </c>
      <c r="O72">
        <f t="shared" si="8"/>
        <v>0.43386554621845619</v>
      </c>
      <c r="P72">
        <f t="shared" si="10"/>
        <v>0.135164359861594</v>
      </c>
      <c r="Q72">
        <f t="shared" si="11"/>
        <v>0.15950939199208083</v>
      </c>
    </row>
    <row r="73" spans="1:17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16">
        <v>12.37</v>
      </c>
      <c r="H73" s="6">
        <v>2.88</v>
      </c>
      <c r="I73" s="6">
        <v>97.11</v>
      </c>
      <c r="J73" s="6">
        <v>73.27</v>
      </c>
      <c r="K73" s="6">
        <v>4.13</v>
      </c>
      <c r="M73">
        <f t="shared" si="9"/>
        <v>804.91049999999996</v>
      </c>
      <c r="N73">
        <f t="shared" si="7"/>
        <v>0.97764705882353375</v>
      </c>
      <c r="O73">
        <f t="shared" si="8"/>
        <v>6.3038655462184465</v>
      </c>
      <c r="P73">
        <f t="shared" si="10"/>
        <v>0.95579377162630608</v>
      </c>
      <c r="Q73">
        <f t="shared" si="11"/>
        <v>6.1629556104794734</v>
      </c>
    </row>
    <row r="74" spans="1:17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16">
        <v>12.02</v>
      </c>
      <c r="H74" s="6">
        <v>3.51</v>
      </c>
      <c r="I74" s="6">
        <v>99.25</v>
      </c>
      <c r="J74" s="6">
        <v>70.56</v>
      </c>
      <c r="K74" s="6">
        <v>5.8</v>
      </c>
      <c r="M74">
        <f t="shared" si="9"/>
        <v>530.22899999999993</v>
      </c>
      <c r="N74">
        <f t="shared" si="7"/>
        <v>-1.4823529411764671</v>
      </c>
      <c r="O74">
        <f t="shared" si="8"/>
        <v>-3.6061344537815501</v>
      </c>
      <c r="P74">
        <f t="shared" si="10"/>
        <v>2.1973702422145225</v>
      </c>
      <c r="Q74">
        <f t="shared" si="11"/>
        <v>5.3455640138408738</v>
      </c>
    </row>
    <row r="75" spans="1:17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16">
        <v>7.71</v>
      </c>
      <c r="H75" s="6">
        <v>7.14</v>
      </c>
      <c r="I75" s="6">
        <v>87.11</v>
      </c>
      <c r="J75" s="6">
        <v>86.62</v>
      </c>
      <c r="K75" s="6">
        <v>1.56</v>
      </c>
      <c r="M75">
        <f t="shared" si="9"/>
        <v>971.09429999999998</v>
      </c>
      <c r="N75">
        <f t="shared" si="7"/>
        <v>2.4976470588235333</v>
      </c>
      <c r="O75">
        <f t="shared" si="8"/>
        <v>9.9638655462184431</v>
      </c>
      <c r="P75">
        <f t="shared" si="10"/>
        <v>6.2382408304498469</v>
      </c>
      <c r="Q75">
        <f t="shared" si="11"/>
        <v>24.886219476025634</v>
      </c>
    </row>
    <row r="76" spans="1:17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1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  <c r="M76">
        <f t="shared" si="9"/>
        <v>1079.8919999999998</v>
      </c>
      <c r="N76">
        <f t="shared" si="7"/>
        <v>3.2876470588235325</v>
      </c>
      <c r="O76">
        <f t="shared" si="8"/>
        <v>13.353865546218444</v>
      </c>
      <c r="P76">
        <f t="shared" si="10"/>
        <v>10.808623183391024</v>
      </c>
      <c r="Q76">
        <f t="shared" si="11"/>
        <v>43.90279678694997</v>
      </c>
    </row>
    <row r="77" spans="1:17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16">
        <v>19.420000000000002</v>
      </c>
      <c r="H77" s="6">
        <v>6.68</v>
      </c>
      <c r="I77" s="6">
        <v>93.2</v>
      </c>
      <c r="J77" s="6">
        <v>80.08</v>
      </c>
      <c r="K77" s="6">
        <v>3.9</v>
      </c>
      <c r="M77">
        <f t="shared" si="9"/>
        <v>564.77099999999996</v>
      </c>
      <c r="N77">
        <f t="shared" si="7"/>
        <v>-0.93235294117646639</v>
      </c>
      <c r="O77">
        <f t="shared" si="8"/>
        <v>-4.2561344537815557</v>
      </c>
      <c r="P77">
        <f t="shared" si="10"/>
        <v>0.86928200692040736</v>
      </c>
      <c r="Q77">
        <f t="shared" si="11"/>
        <v>3.9682194760257268</v>
      </c>
    </row>
    <row r="78" spans="1:17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16">
        <v>24.16</v>
      </c>
      <c r="H78" s="6">
        <v>7.11</v>
      </c>
      <c r="I78" s="6">
        <v>95.99</v>
      </c>
      <c r="J78" s="6">
        <v>75.569999999999993</v>
      </c>
      <c r="K78" s="6">
        <v>4.12</v>
      </c>
      <c r="M78">
        <f t="shared" si="9"/>
        <v>574.86</v>
      </c>
      <c r="N78">
        <f t="shared" si="7"/>
        <v>-1.0323529411764669</v>
      </c>
      <c r="O78">
        <f t="shared" si="8"/>
        <v>-2.0461344537815478</v>
      </c>
      <c r="P78">
        <f t="shared" si="10"/>
        <v>1.0657525951557019</v>
      </c>
      <c r="Q78">
        <f t="shared" si="11"/>
        <v>2.1123329214038846</v>
      </c>
    </row>
    <row r="79" spans="1:17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16">
        <v>15.46</v>
      </c>
      <c r="H79" s="6">
        <v>6.62</v>
      </c>
      <c r="I79" s="6">
        <v>94.1</v>
      </c>
      <c r="J79" s="6">
        <v>72.36</v>
      </c>
      <c r="K79" s="6">
        <v>4.7699999999999996</v>
      </c>
      <c r="M79">
        <f t="shared" si="9"/>
        <v>573.9624</v>
      </c>
      <c r="N79">
        <f t="shared" si="7"/>
        <v>-0.91235294117646681</v>
      </c>
      <c r="O79">
        <f t="shared" si="8"/>
        <v>-3.2761344537815518</v>
      </c>
      <c r="P79">
        <f t="shared" si="10"/>
        <v>0.8323878892733495</v>
      </c>
      <c r="Q79">
        <f t="shared" si="11"/>
        <v>2.9889909045971566</v>
      </c>
    </row>
    <row r="80" spans="1:17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16">
        <v>23.06</v>
      </c>
      <c r="H80" s="6">
        <v>7.85</v>
      </c>
      <c r="I80" s="6">
        <v>94.01</v>
      </c>
      <c r="J80" s="6">
        <v>71.31</v>
      </c>
      <c r="K80" s="6">
        <v>5.0999999999999996</v>
      </c>
      <c r="M80">
        <f t="shared" si="9"/>
        <v>652.12839999999994</v>
      </c>
      <c r="N80">
        <f t="shared" si="7"/>
        <v>-0.15235294117646703</v>
      </c>
      <c r="O80">
        <f t="shared" si="8"/>
        <v>-0.61613445378155518</v>
      </c>
      <c r="P80">
        <f t="shared" si="10"/>
        <v>2.3211418685120021E-2</v>
      </c>
      <c r="Q80">
        <f t="shared" si="11"/>
        <v>9.386989619377592E-2</v>
      </c>
    </row>
    <row r="81" spans="1:17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16">
        <v>32.71</v>
      </c>
      <c r="H81" s="6">
        <v>4.68</v>
      </c>
      <c r="I81" s="6">
        <v>89.53</v>
      </c>
      <c r="J81" s="6">
        <v>72.900000000000006</v>
      </c>
      <c r="K81" s="6">
        <v>5.13</v>
      </c>
      <c r="M81">
        <f t="shared" si="9"/>
        <v>577.97280000000001</v>
      </c>
      <c r="N81">
        <f t="shared" si="7"/>
        <v>-0.96235294117646664</v>
      </c>
      <c r="O81">
        <f t="shared" si="8"/>
        <v>-2.3061344537815529</v>
      </c>
      <c r="P81">
        <f t="shared" si="10"/>
        <v>0.92612318339099586</v>
      </c>
      <c r="Q81">
        <f t="shared" si="11"/>
        <v>2.2193152743450617</v>
      </c>
    </row>
    <row r="82" spans="1:17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16">
        <v>23.29</v>
      </c>
      <c r="H82" s="6">
        <v>7.66</v>
      </c>
      <c r="I82" s="6">
        <v>90.16</v>
      </c>
      <c r="J82" s="6">
        <v>70.86</v>
      </c>
      <c r="K82" s="6">
        <v>3.28</v>
      </c>
      <c r="M82">
        <f t="shared" si="9"/>
        <v>620.98680000000002</v>
      </c>
      <c r="N82">
        <f t="shared" si="7"/>
        <v>-0.57235294117646696</v>
      </c>
      <c r="O82">
        <f t="shared" si="8"/>
        <v>-0.56613445378154381</v>
      </c>
      <c r="P82">
        <f t="shared" si="10"/>
        <v>0.32758788927335225</v>
      </c>
      <c r="Q82">
        <f t="shared" si="11"/>
        <v>0.32402871972319919</v>
      </c>
    </row>
    <row r="83" spans="1:17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16">
        <v>21.01</v>
      </c>
      <c r="H83" s="6">
        <v>5.59</v>
      </c>
      <c r="I83" s="6">
        <v>86.35</v>
      </c>
      <c r="J83" s="6">
        <v>73.760000000000005</v>
      </c>
      <c r="K83" s="6">
        <v>3.23</v>
      </c>
      <c r="M83">
        <f t="shared" si="9"/>
        <v>573.53399999999999</v>
      </c>
      <c r="N83">
        <f t="shared" si="7"/>
        <v>-1.0323529411764669</v>
      </c>
      <c r="O83">
        <f t="shared" si="8"/>
        <v>-2.2161344537815495</v>
      </c>
      <c r="P83">
        <f t="shared" si="10"/>
        <v>1.0657525951557019</v>
      </c>
      <c r="Q83">
        <f t="shared" si="11"/>
        <v>2.2878329214038855</v>
      </c>
    </row>
    <row r="84" spans="1:17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16">
        <v>12.94</v>
      </c>
      <c r="H84" s="6">
        <v>7.05</v>
      </c>
      <c r="I84" s="6">
        <v>88.09</v>
      </c>
      <c r="J84" s="6">
        <v>75.36</v>
      </c>
      <c r="K84" s="6">
        <v>4.03</v>
      </c>
      <c r="M84">
        <f t="shared" si="9"/>
        <v>511.15370000000001</v>
      </c>
      <c r="N84">
        <f t="shared" si="7"/>
        <v>-1.5623529411764672</v>
      </c>
      <c r="O84">
        <f t="shared" si="8"/>
        <v>-5.4361344537815484</v>
      </c>
      <c r="P84">
        <f t="shared" si="10"/>
        <v>2.4409467128027575</v>
      </c>
      <c r="Q84">
        <f t="shared" si="11"/>
        <v>8.4931606524963303</v>
      </c>
    </row>
    <row r="85" spans="1:17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1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  <c r="M85">
        <f t="shared" si="9"/>
        <v>463.88220000000007</v>
      </c>
      <c r="N85">
        <f t="shared" si="7"/>
        <v>-2.2923529411764667</v>
      </c>
      <c r="O85">
        <f t="shared" si="8"/>
        <v>-4.8161344537815438</v>
      </c>
      <c r="P85">
        <f t="shared" si="10"/>
        <v>5.2548820069203979</v>
      </c>
      <c r="Q85">
        <f t="shared" si="11"/>
        <v>11.040279980227439</v>
      </c>
    </row>
    <row r="86" spans="1:17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16">
        <v>20.97</v>
      </c>
      <c r="H86" s="6">
        <v>6.7</v>
      </c>
      <c r="I86" s="6">
        <v>87.99</v>
      </c>
      <c r="J86" s="6">
        <v>76.66</v>
      </c>
      <c r="K86" s="6">
        <v>3.15</v>
      </c>
      <c r="M86">
        <f t="shared" si="9"/>
        <v>578.05399999999997</v>
      </c>
      <c r="N86">
        <f t="shared" si="7"/>
        <v>-1.0523529411764665</v>
      </c>
      <c r="O86">
        <f t="shared" si="8"/>
        <v>-1.4461344537815535</v>
      </c>
      <c r="P86">
        <f t="shared" si="10"/>
        <v>1.1074467128027596</v>
      </c>
      <c r="Q86">
        <f t="shared" si="11"/>
        <v>1.5218438457736407</v>
      </c>
    </row>
    <row r="87" spans="1:17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16">
        <v>27.36</v>
      </c>
      <c r="H87" s="6">
        <v>7.16</v>
      </c>
      <c r="I87" s="6">
        <v>87.11</v>
      </c>
      <c r="J87" s="6">
        <v>73.180000000000007</v>
      </c>
      <c r="K87" s="6">
        <v>3</v>
      </c>
      <c r="M87">
        <f t="shared" si="9"/>
        <v>465.06659999999999</v>
      </c>
      <c r="N87">
        <f t="shared" si="7"/>
        <v>-2.3023529411764665</v>
      </c>
      <c r="O87">
        <f t="shared" si="8"/>
        <v>-4.5261344537815518</v>
      </c>
      <c r="P87">
        <f t="shared" si="10"/>
        <v>5.3008290657439261</v>
      </c>
      <c r="Q87">
        <f t="shared" si="11"/>
        <v>10.420758971824096</v>
      </c>
    </row>
    <row r="88" spans="1:17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16">
        <v>60.65</v>
      </c>
      <c r="H88" s="6">
        <v>5.47</v>
      </c>
      <c r="I88" s="6">
        <v>91.94</v>
      </c>
      <c r="J88" s="6">
        <v>75.31</v>
      </c>
      <c r="K88" s="6">
        <v>5.0199999999999996</v>
      </c>
      <c r="M88">
        <f t="shared" si="9"/>
        <v>493.55459999999999</v>
      </c>
      <c r="N88">
        <f t="shared" si="7"/>
        <v>-1.902352941176467</v>
      </c>
      <c r="O88">
        <f t="shared" si="8"/>
        <v>-4.5261344537815518</v>
      </c>
      <c r="P88">
        <f t="shared" si="10"/>
        <v>3.6189467128027548</v>
      </c>
      <c r="Q88">
        <f t="shared" si="11"/>
        <v>8.6103051903114771</v>
      </c>
    </row>
    <row r="89" spans="1:17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16">
        <v>48.57</v>
      </c>
      <c r="H89" s="6">
        <v>5.18</v>
      </c>
      <c r="I89" s="6">
        <v>95.45</v>
      </c>
      <c r="J89" s="6">
        <v>68.37</v>
      </c>
      <c r="K89" s="6">
        <v>6.49</v>
      </c>
      <c r="M89">
        <f t="shared" si="9"/>
        <v>447.06349999999992</v>
      </c>
      <c r="N89">
        <f t="shared" si="7"/>
        <v>-2.5223529411764671</v>
      </c>
      <c r="O89">
        <f t="shared" si="8"/>
        <v>-4.8961344537815563</v>
      </c>
      <c r="P89">
        <f t="shared" si="10"/>
        <v>6.362264359861574</v>
      </c>
      <c r="Q89">
        <f t="shared" si="11"/>
        <v>12.349779139891345</v>
      </c>
    </row>
    <row r="90" spans="1:17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16">
        <v>57.93</v>
      </c>
      <c r="H90" s="6">
        <v>5.89</v>
      </c>
      <c r="I90" s="6">
        <v>92.41</v>
      </c>
      <c r="J90" s="6">
        <v>73.94</v>
      </c>
      <c r="K90" s="6">
        <v>3.87</v>
      </c>
      <c r="M90">
        <f t="shared" si="9"/>
        <v>539.80560000000003</v>
      </c>
      <c r="N90">
        <f t="shared" si="7"/>
        <v>-1.3723529411764668</v>
      </c>
      <c r="O90">
        <f t="shared" si="8"/>
        <v>-3.3861344537815512</v>
      </c>
      <c r="P90">
        <f t="shared" si="10"/>
        <v>1.8833525951556989</v>
      </c>
      <c r="Q90">
        <f t="shared" si="11"/>
        <v>4.6469715768660809</v>
      </c>
    </row>
    <row r="91" spans="1:17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16">
        <v>22.24</v>
      </c>
      <c r="H91" s="6">
        <v>6.65</v>
      </c>
      <c r="I91" s="6">
        <v>91.32</v>
      </c>
      <c r="J91" s="6">
        <v>71.88</v>
      </c>
      <c r="K91" s="6">
        <v>3.75</v>
      </c>
      <c r="M91">
        <f t="shared" si="9"/>
        <v>901.92970000000003</v>
      </c>
      <c r="N91">
        <f t="shared" si="7"/>
        <v>2.0776470588235334</v>
      </c>
      <c r="O91">
        <f t="shared" si="8"/>
        <v>6.9238655462184511</v>
      </c>
      <c r="P91">
        <f t="shared" si="10"/>
        <v>4.3166173010380788</v>
      </c>
      <c r="Q91">
        <f t="shared" si="11"/>
        <v>14.385348887790363</v>
      </c>
    </row>
    <row r="92" spans="1:17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1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  <c r="M92">
        <f t="shared" si="9"/>
        <v>700.17970000000003</v>
      </c>
      <c r="N92">
        <f t="shared" si="7"/>
        <v>0.29764705882353404</v>
      </c>
      <c r="O92">
        <f t="shared" si="8"/>
        <v>0.94386554621844709</v>
      </c>
      <c r="P92">
        <f t="shared" si="10"/>
        <v>8.8593771626300333E-2</v>
      </c>
      <c r="Q92">
        <f t="shared" si="11"/>
        <v>0.2809388037567892</v>
      </c>
    </row>
    <row r="93" spans="1:17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16">
        <v>14.57</v>
      </c>
      <c r="H93" s="6">
        <v>5.01</v>
      </c>
      <c r="I93" s="6">
        <v>93.33</v>
      </c>
      <c r="J93" s="6">
        <v>72.34</v>
      </c>
      <c r="K93" s="6">
        <v>4.34</v>
      </c>
      <c r="M93">
        <f t="shared" si="9"/>
        <v>664.38259999999991</v>
      </c>
      <c r="N93">
        <f t="shared" si="7"/>
        <v>-5.2352941176467382E-2</v>
      </c>
      <c r="O93">
        <f t="shared" si="8"/>
        <v>-7.6134453781548928E-2</v>
      </c>
      <c r="P93">
        <f t="shared" si="10"/>
        <v>2.7408304498266539E-3</v>
      </c>
      <c r="Q93">
        <f t="shared" si="11"/>
        <v>3.9858625803279053E-3</v>
      </c>
    </row>
    <row r="94" spans="1:17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16">
        <v>12.28</v>
      </c>
      <c r="H94" s="6">
        <v>4.5</v>
      </c>
      <c r="I94" s="6">
        <v>95.05</v>
      </c>
      <c r="J94" s="6">
        <v>77.040000000000006</v>
      </c>
      <c r="K94" s="6">
        <v>3.28</v>
      </c>
      <c r="M94">
        <f t="shared" si="9"/>
        <v>620.7299999999999</v>
      </c>
      <c r="N94">
        <f t="shared" si="7"/>
        <v>-0.58235294117646674</v>
      </c>
      <c r="O94">
        <f t="shared" si="8"/>
        <v>-0.50613445378155575</v>
      </c>
      <c r="P94">
        <f t="shared" si="10"/>
        <v>0.33913494809688133</v>
      </c>
      <c r="Q94">
        <f t="shared" si="11"/>
        <v>0.29474888779043346</v>
      </c>
    </row>
    <row r="95" spans="1:17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16">
        <v>10.11</v>
      </c>
      <c r="H95" s="6">
        <v>6.09</v>
      </c>
      <c r="I95" s="6">
        <v>93.79</v>
      </c>
      <c r="J95" s="6">
        <v>75.73</v>
      </c>
      <c r="K95" s="6">
        <v>2.4</v>
      </c>
      <c r="M95">
        <f t="shared" si="9"/>
        <v>613.44200000000001</v>
      </c>
      <c r="N95">
        <f t="shared" si="7"/>
        <v>-0.63235294117646745</v>
      </c>
      <c r="O95">
        <f t="shared" si="8"/>
        <v>-0.93613445378154836</v>
      </c>
      <c r="P95">
        <f t="shared" si="10"/>
        <v>0.39987024221452888</v>
      </c>
      <c r="Q95">
        <f t="shared" si="11"/>
        <v>0.59196737518538789</v>
      </c>
    </row>
    <row r="96" spans="1:17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16">
        <v>6.95</v>
      </c>
      <c r="H96" s="6">
        <v>8.7200000000000006</v>
      </c>
      <c r="I96" s="6">
        <v>92.22</v>
      </c>
      <c r="J96" s="6">
        <v>73.86</v>
      </c>
      <c r="K96" s="6">
        <v>4.42</v>
      </c>
      <c r="M96">
        <f t="shared" si="9"/>
        <v>667.1312999999999</v>
      </c>
      <c r="N96">
        <f t="shared" si="7"/>
        <v>-0.14235294117646724</v>
      </c>
      <c r="O96">
        <f t="shared" si="8"/>
        <v>1.0238655462184454</v>
      </c>
      <c r="P96">
        <f t="shared" si="10"/>
        <v>2.0264359861590742E-2</v>
      </c>
      <c r="Q96">
        <f t="shared" si="11"/>
        <v>-0.14575027187344586</v>
      </c>
    </row>
    <row r="97" spans="1:17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16">
        <v>30.21</v>
      </c>
      <c r="H97" s="6">
        <v>1.83</v>
      </c>
      <c r="I97" s="6">
        <v>89.59</v>
      </c>
      <c r="J97" s="6">
        <v>74.55</v>
      </c>
      <c r="K97" s="6">
        <v>4.28</v>
      </c>
      <c r="M97">
        <f t="shared" si="9"/>
        <v>579.45439999999996</v>
      </c>
      <c r="N97">
        <f t="shared" si="7"/>
        <v>-0.99235294117646689</v>
      </c>
      <c r="O97">
        <f t="shared" si="8"/>
        <v>-1.836134453781554</v>
      </c>
      <c r="P97">
        <f t="shared" si="10"/>
        <v>0.98476435986158439</v>
      </c>
      <c r="Q97">
        <f t="shared" si="11"/>
        <v>1.8220934256055707</v>
      </c>
    </row>
    <row r="98" spans="1:17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16">
        <v>12.23</v>
      </c>
      <c r="H98" s="6">
        <v>7.66</v>
      </c>
      <c r="I98" s="6">
        <v>90.7</v>
      </c>
      <c r="J98" s="6">
        <v>74.8</v>
      </c>
      <c r="K98" s="6">
        <v>4.34</v>
      </c>
      <c r="M98">
        <f t="shared" si="9"/>
        <v>552.17250000000001</v>
      </c>
      <c r="N98">
        <f t="shared" si="7"/>
        <v>-1.2423529411764669</v>
      </c>
      <c r="O98">
        <f t="shared" si="8"/>
        <v>-2.9961344537815506</v>
      </c>
      <c r="P98">
        <f t="shared" si="10"/>
        <v>1.5434408304498177</v>
      </c>
      <c r="Q98">
        <f t="shared" si="11"/>
        <v>3.7222564508156566</v>
      </c>
    </row>
    <row r="99" spans="1:17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16">
        <v>51.25</v>
      </c>
      <c r="H99" s="6">
        <v>6.32</v>
      </c>
      <c r="I99" s="6">
        <v>91.63</v>
      </c>
      <c r="J99" s="6">
        <v>71.61</v>
      </c>
      <c r="K99" s="6">
        <v>6.45</v>
      </c>
      <c r="M99">
        <f t="shared" si="9"/>
        <v>544.49430000000007</v>
      </c>
      <c r="N99">
        <f t="shared" si="7"/>
        <v>-1.3023529411764665</v>
      </c>
      <c r="O99">
        <f t="shared" si="8"/>
        <v>-3.4361344537815484</v>
      </c>
      <c r="P99">
        <f t="shared" si="10"/>
        <v>1.6961231833909929</v>
      </c>
      <c r="Q99">
        <f t="shared" si="11"/>
        <v>4.4750598121601906</v>
      </c>
    </row>
    <row r="100" spans="1:17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16">
        <v>3.04</v>
      </c>
      <c r="H100" s="6">
        <v>9.15</v>
      </c>
      <c r="I100" s="6">
        <v>88.09</v>
      </c>
      <c r="J100" s="6">
        <v>70.48</v>
      </c>
      <c r="K100" s="6">
        <v>5.35</v>
      </c>
      <c r="M100">
        <f t="shared" si="9"/>
        <v>643.63200000000006</v>
      </c>
      <c r="N100">
        <f t="shared" ref="N100:N122" si="12">C98-$S$4</f>
        <v>-0.35235294117646632</v>
      </c>
      <c r="O100">
        <f t="shared" ref="O100:O122" si="13">B98-$T$4</f>
        <v>0.15386554621845505</v>
      </c>
      <c r="P100">
        <f t="shared" si="10"/>
        <v>0.12415259515570633</v>
      </c>
      <c r="Q100">
        <f t="shared" si="11"/>
        <v>-5.4214977755796152E-2</v>
      </c>
    </row>
    <row r="101" spans="1:17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16">
        <v>4.18</v>
      </c>
      <c r="H101" s="6">
        <v>7.54</v>
      </c>
      <c r="I101" s="6">
        <v>87.52</v>
      </c>
      <c r="J101" s="6">
        <v>73.62</v>
      </c>
      <c r="K101" s="6">
        <v>2.5</v>
      </c>
      <c r="M101">
        <f t="shared" si="9"/>
        <v>791.66790000000003</v>
      </c>
      <c r="N101">
        <f t="shared" si="12"/>
        <v>1.1976470588235326</v>
      </c>
      <c r="O101">
        <f t="shared" si="13"/>
        <v>3.1838655462184562</v>
      </c>
      <c r="P101">
        <f t="shared" si="10"/>
        <v>1.4343584775086582</v>
      </c>
      <c r="Q101">
        <f t="shared" si="11"/>
        <v>3.8131472071181141</v>
      </c>
    </row>
    <row r="102" spans="1:17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16">
        <v>7.74</v>
      </c>
      <c r="H102" s="6">
        <v>6.32</v>
      </c>
      <c r="I102" s="6">
        <v>87.6</v>
      </c>
      <c r="J102" s="6">
        <v>79.13</v>
      </c>
      <c r="K102" s="6">
        <v>1.64</v>
      </c>
      <c r="M102">
        <f t="shared" si="9"/>
        <v>404.6533</v>
      </c>
      <c r="N102">
        <f t="shared" si="12"/>
        <v>-2.822352941176467</v>
      </c>
      <c r="O102">
        <f t="shared" si="13"/>
        <v>-8.4161344537815523</v>
      </c>
      <c r="P102">
        <f t="shared" si="10"/>
        <v>7.9656761245674534</v>
      </c>
      <c r="Q102">
        <f t="shared" si="11"/>
        <v>23.753301828966961</v>
      </c>
    </row>
    <row r="103" spans="1:17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16">
        <v>6.73</v>
      </c>
      <c r="H103" s="6">
        <v>8.26</v>
      </c>
      <c r="I103" s="6">
        <v>83.03</v>
      </c>
      <c r="J103" s="6">
        <v>78.16</v>
      </c>
      <c r="K103" s="6">
        <v>1.69</v>
      </c>
      <c r="M103">
        <f t="shared" si="9"/>
        <v>338.93759999999997</v>
      </c>
      <c r="N103">
        <f t="shared" si="12"/>
        <v>-3.7523529411764667</v>
      </c>
      <c r="O103">
        <f t="shared" si="13"/>
        <v>-9.0261344537815518</v>
      </c>
      <c r="P103">
        <f t="shared" si="10"/>
        <v>14.080152595155679</v>
      </c>
      <c r="Q103">
        <f t="shared" si="11"/>
        <v>33.869242165101447</v>
      </c>
    </row>
    <row r="104" spans="1:17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16">
        <v>79.64</v>
      </c>
      <c r="H104" s="6">
        <v>2.94</v>
      </c>
      <c r="I104" s="6">
        <v>95.99</v>
      </c>
      <c r="J104" s="6">
        <v>70.739999999999995</v>
      </c>
      <c r="K104" s="6">
        <v>3.91</v>
      </c>
      <c r="M104">
        <f t="shared" si="9"/>
        <v>507.99449999999996</v>
      </c>
      <c r="N104">
        <f t="shared" si="12"/>
        <v>-1.6623529411764668</v>
      </c>
      <c r="O104">
        <f t="shared" si="13"/>
        <v>-4.8961344537815563</v>
      </c>
      <c r="P104">
        <f t="shared" si="10"/>
        <v>2.7634173010380496</v>
      </c>
      <c r="Q104">
        <f t="shared" si="11"/>
        <v>8.1391035096392041</v>
      </c>
    </row>
    <row r="105" spans="1:17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1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  <c r="M105">
        <f t="shared" si="9"/>
        <v>425.65799999999996</v>
      </c>
      <c r="N105">
        <f t="shared" si="12"/>
        <v>-2.7323529411764671</v>
      </c>
      <c r="O105">
        <f t="shared" si="13"/>
        <v>-5.9661344537815495</v>
      </c>
      <c r="P105">
        <f t="shared" si="10"/>
        <v>7.4657525951556902</v>
      </c>
      <c r="Q105">
        <f t="shared" si="11"/>
        <v>16.301585022244272</v>
      </c>
    </row>
    <row r="106" spans="1:17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16">
        <v>27.09</v>
      </c>
      <c r="H106" s="6">
        <v>5.13</v>
      </c>
      <c r="I106" s="6">
        <v>97.02</v>
      </c>
      <c r="J106" s="6">
        <v>67.52</v>
      </c>
      <c r="K106" s="6">
        <v>6.1</v>
      </c>
      <c r="M106">
        <f t="shared" si="9"/>
        <v>894.12959999999998</v>
      </c>
      <c r="N106">
        <f t="shared" si="12"/>
        <v>2.0876470588235332</v>
      </c>
      <c r="O106">
        <f t="shared" si="13"/>
        <v>6.1338655462184448</v>
      </c>
      <c r="P106">
        <f t="shared" si="10"/>
        <v>4.358270242214549</v>
      </c>
      <c r="Q106">
        <f t="shared" si="11"/>
        <v>12.805346366781942</v>
      </c>
    </row>
    <row r="107" spans="1:17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1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  <c r="M107">
        <f t="shared" si="9"/>
        <v>881.18079999999998</v>
      </c>
      <c r="N107">
        <f t="shared" si="12"/>
        <v>1.9876470588235335</v>
      </c>
      <c r="O107">
        <f t="shared" si="13"/>
        <v>5.6938655462184471</v>
      </c>
      <c r="P107">
        <f t="shared" si="10"/>
        <v>3.9507408304498433</v>
      </c>
      <c r="Q107">
        <f t="shared" si="11"/>
        <v>11.317395106277749</v>
      </c>
    </row>
    <row r="108" spans="1:17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16">
        <v>19.809999999999999</v>
      </c>
      <c r="H108" s="6">
        <v>3.52</v>
      </c>
      <c r="I108" s="6">
        <v>97.82</v>
      </c>
      <c r="J108" s="6">
        <v>72.72</v>
      </c>
      <c r="K108" s="6">
        <v>4.63</v>
      </c>
      <c r="M108">
        <f t="shared" si="9"/>
        <v>943.3352000000001</v>
      </c>
      <c r="N108">
        <f t="shared" si="12"/>
        <v>2.3076470588235338</v>
      </c>
      <c r="O108">
        <f t="shared" si="13"/>
        <v>8.9338655462184562</v>
      </c>
      <c r="P108">
        <f t="shared" si="10"/>
        <v>5.3252349480969059</v>
      </c>
      <c r="Q108">
        <f t="shared" si="11"/>
        <v>20.616208551655923</v>
      </c>
    </row>
    <row r="109" spans="1:17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16">
        <v>9.34</v>
      </c>
      <c r="H109" s="6">
        <v>3.44</v>
      </c>
      <c r="I109" s="6">
        <v>95.2</v>
      </c>
      <c r="J109" s="6">
        <v>72.680000000000007</v>
      </c>
      <c r="K109" s="6">
        <v>3.76</v>
      </c>
      <c r="M109">
        <f t="shared" si="9"/>
        <v>756.11880000000008</v>
      </c>
      <c r="N109">
        <f t="shared" si="12"/>
        <v>0.8876470588235339</v>
      </c>
      <c r="O109">
        <f t="shared" si="13"/>
        <v>2.0438655462184556</v>
      </c>
      <c r="P109">
        <f t="shared" si="10"/>
        <v>0.78791730103807023</v>
      </c>
      <c r="Q109">
        <f t="shared" si="11"/>
        <v>1.8142312407315677</v>
      </c>
    </row>
    <row r="110" spans="1:17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16">
        <v>13.63</v>
      </c>
      <c r="H110" s="6">
        <v>6.36</v>
      </c>
      <c r="I110" s="6">
        <v>95.92</v>
      </c>
      <c r="J110" s="6">
        <v>70.599999999999994</v>
      </c>
      <c r="K110" s="6">
        <v>4.3</v>
      </c>
      <c r="M110">
        <f t="shared" si="9"/>
        <v>784.26599999999996</v>
      </c>
      <c r="N110">
        <f t="shared" si="12"/>
        <v>1.1076470588235328</v>
      </c>
      <c r="O110">
        <f t="shared" si="13"/>
        <v>3.1538655462184551</v>
      </c>
      <c r="P110">
        <f t="shared" si="10"/>
        <v>1.2268820069204227</v>
      </c>
      <c r="Q110">
        <f t="shared" si="11"/>
        <v>3.4933698961937463</v>
      </c>
    </row>
    <row r="111" spans="1:17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16">
        <v>19.07</v>
      </c>
      <c r="H111" s="6">
        <v>5.48</v>
      </c>
      <c r="I111" s="6">
        <v>95.75</v>
      </c>
      <c r="J111" s="6">
        <v>70.489999999999995</v>
      </c>
      <c r="K111" s="6">
        <v>4.91</v>
      </c>
      <c r="M111">
        <f t="shared" si="9"/>
        <v>930.42880000000014</v>
      </c>
      <c r="N111">
        <f t="shared" si="12"/>
        <v>2.547647058823534</v>
      </c>
      <c r="O111">
        <f t="shared" si="13"/>
        <v>6.0138655462184545</v>
      </c>
      <c r="P111">
        <f t="shared" si="10"/>
        <v>6.4905055363322033</v>
      </c>
      <c r="Q111">
        <f t="shared" si="11"/>
        <v>15.321206870983632</v>
      </c>
    </row>
    <row r="112" spans="1:17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16">
        <v>6.29</v>
      </c>
      <c r="H112" s="6">
        <v>8.6</v>
      </c>
      <c r="I112" s="6">
        <v>91.5</v>
      </c>
      <c r="J112" s="6">
        <v>73.53</v>
      </c>
      <c r="K112" s="6">
        <v>3.63</v>
      </c>
      <c r="M112">
        <f t="shared" si="9"/>
        <v>1023.4161</v>
      </c>
      <c r="N112">
        <f t="shared" si="12"/>
        <v>3.2776470588235327</v>
      </c>
      <c r="O112">
        <f t="shared" si="13"/>
        <v>8.7638655462184545</v>
      </c>
      <c r="P112">
        <f t="shared" si="10"/>
        <v>10.742970242214554</v>
      </c>
      <c r="Q112">
        <f t="shared" si="11"/>
        <v>28.72485813148781</v>
      </c>
    </row>
    <row r="113" spans="1:17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16">
        <v>7.19</v>
      </c>
      <c r="H113" s="6">
        <v>6.67</v>
      </c>
      <c r="I113" s="6">
        <v>87.93</v>
      </c>
      <c r="J113" s="6">
        <v>66.92</v>
      </c>
      <c r="K113" s="6">
        <v>8.09</v>
      </c>
      <c r="M113">
        <f t="shared" si="9"/>
        <v>922.27409999999998</v>
      </c>
      <c r="N113">
        <f t="shared" si="12"/>
        <v>2.0576470588235338</v>
      </c>
      <c r="O113">
        <f t="shared" si="13"/>
        <v>8.9438655462184471</v>
      </c>
      <c r="P113">
        <f t="shared" si="10"/>
        <v>4.233911418685139</v>
      </c>
      <c r="Q113">
        <f t="shared" si="11"/>
        <v>18.403318635689526</v>
      </c>
    </row>
    <row r="114" spans="1:17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1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  <c r="M114">
        <f t="shared" si="9"/>
        <v>786.54029999999989</v>
      </c>
      <c r="N114">
        <f t="shared" si="12"/>
        <v>1.0376470588235325</v>
      </c>
      <c r="O114">
        <f t="shared" si="13"/>
        <v>3.9438655462184471</v>
      </c>
      <c r="P114">
        <f t="shared" si="10"/>
        <v>1.0767114186851274</v>
      </c>
      <c r="Q114">
        <f t="shared" si="11"/>
        <v>4.0923404844290356</v>
      </c>
    </row>
    <row r="115" spans="1:17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1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  <c r="M115">
        <f t="shared" si="9"/>
        <v>507.50079999999997</v>
      </c>
      <c r="N115">
        <f t="shared" si="12"/>
        <v>-1.6723529411764666</v>
      </c>
      <c r="O115">
        <f t="shared" si="13"/>
        <v>-4.8661344537815552</v>
      </c>
      <c r="P115">
        <f t="shared" si="10"/>
        <v>2.7967643598615783</v>
      </c>
      <c r="Q115">
        <f t="shared" si="11"/>
        <v>8.137894265941723</v>
      </c>
    </row>
    <row r="116" spans="1:17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16">
        <v>46.69</v>
      </c>
      <c r="H116" s="6">
        <v>5.65</v>
      </c>
      <c r="I116" s="6">
        <v>93.52</v>
      </c>
      <c r="J116" s="6">
        <v>67.77</v>
      </c>
      <c r="K116" s="6">
        <v>9.18</v>
      </c>
      <c r="M116">
        <f t="shared" si="9"/>
        <v>451.66129999999998</v>
      </c>
      <c r="N116">
        <f t="shared" si="12"/>
        <v>-2.2223529411764664</v>
      </c>
      <c r="O116">
        <f t="shared" si="13"/>
        <v>-7.4161344537815523</v>
      </c>
      <c r="P116">
        <f t="shared" si="10"/>
        <v>4.9388525951556908</v>
      </c>
      <c r="Q116">
        <f t="shared" si="11"/>
        <v>16.48126821552156</v>
      </c>
    </row>
    <row r="117" spans="1:17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16">
        <v>26.98</v>
      </c>
      <c r="H117" s="6">
        <v>4.03</v>
      </c>
      <c r="I117" s="6">
        <v>95.91</v>
      </c>
      <c r="J117" s="6">
        <v>66.02</v>
      </c>
      <c r="K117" s="6">
        <v>5.92</v>
      </c>
      <c r="M117">
        <f t="shared" si="9"/>
        <v>690.28139999999996</v>
      </c>
      <c r="N117">
        <f t="shared" si="12"/>
        <v>0.22764705882353375</v>
      </c>
      <c r="O117">
        <f t="shared" si="13"/>
        <v>0.44386554621844709</v>
      </c>
      <c r="P117">
        <f t="shared" si="10"/>
        <v>5.1823183391005438E-2</v>
      </c>
      <c r="Q117">
        <f t="shared" si="11"/>
        <v>0.10104468610973076</v>
      </c>
    </row>
    <row r="118" spans="1:17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16">
        <v>56.16</v>
      </c>
      <c r="H118" s="6">
        <v>5.05</v>
      </c>
      <c r="I118" s="6">
        <v>89.17</v>
      </c>
      <c r="J118" s="6">
        <v>60.83</v>
      </c>
      <c r="K118" s="6">
        <v>6.08</v>
      </c>
      <c r="M118">
        <f t="shared" si="9"/>
        <v>577.44640000000004</v>
      </c>
      <c r="N118">
        <f t="shared" si="12"/>
        <v>-0.95235294117646685</v>
      </c>
      <c r="O118">
        <f t="shared" si="13"/>
        <v>-2.4661344537815495</v>
      </c>
      <c r="P118">
        <f t="shared" si="10"/>
        <v>0.9069761245674669</v>
      </c>
      <c r="Q118">
        <f t="shared" si="11"/>
        <v>2.3486304003954781</v>
      </c>
    </row>
    <row r="119" spans="1:17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1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  <c r="M119">
        <f t="shared" si="9"/>
        <v>908.24420000000009</v>
      </c>
      <c r="N119">
        <f t="shared" si="12"/>
        <v>2.3076470588235338</v>
      </c>
      <c r="O119">
        <f t="shared" si="13"/>
        <v>5.7838655462184505</v>
      </c>
      <c r="P119">
        <f t="shared" si="10"/>
        <v>5.3252349480969059</v>
      </c>
      <c r="Q119">
        <f t="shared" si="11"/>
        <v>13.34712031636178</v>
      </c>
    </row>
    <row r="120" spans="1:17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16">
        <v>8.09</v>
      </c>
      <c r="H120" s="6">
        <v>7.96</v>
      </c>
      <c r="I120" s="6">
        <v>95.29</v>
      </c>
      <c r="J120" s="6">
        <v>58.13</v>
      </c>
      <c r="K120" s="6">
        <v>5.09</v>
      </c>
      <c r="M120">
        <f t="shared" si="9"/>
        <v>819.04370000000006</v>
      </c>
      <c r="N120">
        <f t="shared" si="12"/>
        <v>1.5576470588235338</v>
      </c>
      <c r="O120">
        <f t="shared" si="13"/>
        <v>3.0838655462184477</v>
      </c>
      <c r="P120">
        <f t="shared" si="10"/>
        <v>2.4262643598616056</v>
      </c>
      <c r="Q120">
        <f t="shared" si="11"/>
        <v>4.8035740978743959</v>
      </c>
    </row>
    <row r="121" spans="1:17" x14ac:dyDescent="0.25">
      <c r="M121">
        <f t="shared" si="9"/>
        <v>686.71699999999998</v>
      </c>
      <c r="N121">
        <f t="shared" si="12"/>
        <v>9.7647058823532973E-2</v>
      </c>
      <c r="O121">
        <f t="shared" si="13"/>
        <v>1.1538655462184551</v>
      </c>
      <c r="P121">
        <f t="shared" si="10"/>
        <v>9.5349480968865089E-3</v>
      </c>
      <c r="Q121">
        <f t="shared" si="11"/>
        <v>0.11267157686604148</v>
      </c>
    </row>
    <row r="122" spans="1:17" x14ac:dyDescent="0.25">
      <c r="M122">
        <f t="shared" si="9"/>
        <v>998.13759999999991</v>
      </c>
      <c r="N122">
        <f t="shared" si="12"/>
        <v>3.0276470588235327</v>
      </c>
      <c r="O122">
        <f t="shared" si="13"/>
        <v>8.413865546218446</v>
      </c>
      <c r="P122">
        <f t="shared" si="10"/>
        <v>9.1666467128027875</v>
      </c>
      <c r="Q122">
        <f t="shared" si="11"/>
        <v>25.474215274344935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20" t="s">
        <v>0</v>
      </c>
      <c r="B1" s="22" t="s">
        <v>1</v>
      </c>
      <c r="C1" s="17" t="s">
        <v>2</v>
      </c>
      <c r="D1" s="18"/>
      <c r="E1" s="18"/>
      <c r="F1" s="18"/>
      <c r="G1" s="19"/>
      <c r="H1" s="23" t="s">
        <v>3</v>
      </c>
      <c r="I1" s="18"/>
      <c r="J1" s="18"/>
      <c r="K1" s="18"/>
      <c r="L1" s="19"/>
      <c r="M1" s="17" t="s">
        <v>4</v>
      </c>
      <c r="N1" s="18"/>
      <c r="O1" s="18"/>
      <c r="P1" s="18"/>
      <c r="Q1" s="19"/>
      <c r="R1" s="24" t="s">
        <v>5</v>
      </c>
      <c r="S1" s="18"/>
      <c r="T1" s="18"/>
      <c r="U1" s="18"/>
      <c r="V1" s="19"/>
      <c r="W1" s="25" t="s">
        <v>6</v>
      </c>
      <c r="X1" s="18"/>
      <c r="Y1" s="18"/>
      <c r="Z1" s="18"/>
      <c r="AA1" s="19"/>
      <c r="AB1" s="26" t="s">
        <v>7</v>
      </c>
      <c r="AC1" s="18"/>
      <c r="AD1" s="19"/>
      <c r="AE1" s="17" t="s">
        <v>8</v>
      </c>
      <c r="AF1" s="18"/>
      <c r="AG1" s="18"/>
      <c r="AH1" s="18"/>
      <c r="AI1" s="19"/>
      <c r="AJ1" s="24" t="s">
        <v>9</v>
      </c>
      <c r="AK1" s="18"/>
      <c r="AL1" s="18"/>
      <c r="AM1" s="18"/>
      <c r="AN1" s="19"/>
      <c r="AO1" s="17" t="s">
        <v>10</v>
      </c>
      <c r="AP1" s="18"/>
      <c r="AQ1" s="18"/>
      <c r="AR1" s="18"/>
      <c r="AS1" s="19"/>
      <c r="AT1" s="24" t="s">
        <v>11</v>
      </c>
      <c r="AU1" s="18"/>
      <c r="AV1" s="18"/>
      <c r="AW1" s="18"/>
      <c r="AX1" s="19"/>
      <c r="AY1" s="17" t="s">
        <v>12</v>
      </c>
      <c r="AZ1" s="18"/>
      <c r="BA1" s="18"/>
      <c r="BB1" s="18"/>
      <c r="BC1" s="19"/>
      <c r="BD1" s="1"/>
      <c r="BE1" s="2"/>
      <c r="BF1" s="2"/>
      <c r="BG1" s="2"/>
      <c r="BH1" s="2"/>
    </row>
    <row r="2" spans="1:60" ht="13" x14ac:dyDescent="0.3">
      <c r="A2" s="21"/>
      <c r="B2" s="21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2026-02-09T17:24:46Z</dcterms:modified>
</cp:coreProperties>
</file>